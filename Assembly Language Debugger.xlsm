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0" yWindow="-75" windowWidth="19440" windowHeight="8415" firstSheet="2" activeTab="2"/>
  </bookViews>
  <sheets>
    <sheet name="Assembler" sheetId="7" state="hidden" r:id="rId1"/>
    <sheet name="simulator" sheetId="4" state="hidden" r:id="rId2"/>
    <sheet name="Debugger" sheetId="6" r:id="rId3"/>
    <sheet name="Sheet1" sheetId="2" state="hidden" r:id="rId4"/>
    <sheet name="Sheet2" sheetId="3" state="hidden" r:id="rId5"/>
    <sheet name="sample programs" sheetId="5" r:id="rId6"/>
  </sheets>
  <functionGroups builtInGroupCount="17"/>
  <calcPr calcId="145621"/>
</workbook>
</file>

<file path=xl/calcChain.xml><?xml version="1.0" encoding="utf-8"?>
<calcChain xmlns="http://schemas.openxmlformats.org/spreadsheetml/2006/main">
  <c r="C8" i="4" l="1"/>
  <c r="C9" i="4"/>
  <c r="C10" i="4"/>
  <c r="G14" i="6" l="1"/>
  <c r="G15" i="6"/>
  <c r="G16" i="6"/>
  <c r="G17" i="6"/>
  <c r="G18" i="6"/>
  <c r="G19" i="6"/>
  <c r="G13" i="6"/>
  <c r="G11" i="6"/>
  <c r="G12" i="6"/>
  <c r="C14" i="4"/>
  <c r="C15" i="4"/>
  <c r="C16" i="4"/>
  <c r="C17" i="4"/>
  <c r="C18" i="4"/>
  <c r="C13" i="4"/>
  <c r="C3" i="4"/>
  <c r="C4" i="4"/>
  <c r="C5" i="4"/>
  <c r="C6" i="4"/>
  <c r="C7" i="4"/>
  <c r="C2" i="4"/>
  <c r="G8" i="6" l="1"/>
  <c r="K8" i="6" s="1"/>
  <c r="G9" i="6"/>
  <c r="G10" i="6"/>
  <c r="K10" i="6" s="1"/>
  <c r="K12" i="6"/>
  <c r="K14" i="6"/>
  <c r="K16" i="6"/>
  <c r="K18" i="6"/>
  <c r="G20" i="6"/>
  <c r="K20" i="6" s="1"/>
  <c r="G21" i="6"/>
  <c r="G22" i="6"/>
  <c r="K22" i="6" s="1"/>
  <c r="G23" i="6"/>
  <c r="G24" i="6"/>
  <c r="K24" i="6" s="1"/>
  <c r="G25" i="6"/>
  <c r="G26" i="6"/>
  <c r="K26" i="6" s="1"/>
  <c r="G27" i="6"/>
  <c r="G28" i="6"/>
  <c r="K28" i="6" s="1"/>
  <c r="G29" i="6"/>
  <c r="G30" i="6"/>
  <c r="K30" i="6" s="1"/>
  <c r="G31" i="6"/>
  <c r="G32" i="6"/>
  <c r="K32" i="6" s="1"/>
  <c r="G33" i="6"/>
  <c r="G34" i="6"/>
  <c r="K34" i="6" s="1"/>
  <c r="G35" i="6"/>
  <c r="G36" i="6"/>
  <c r="K36" i="6" s="1"/>
  <c r="G37" i="6"/>
  <c r="G38" i="6"/>
  <c r="K38" i="6" s="1"/>
  <c r="G39" i="6"/>
  <c r="G40" i="6"/>
  <c r="K40" i="6" s="1"/>
  <c r="G41" i="6"/>
  <c r="G42" i="6"/>
  <c r="K42" i="6" s="1"/>
  <c r="G43" i="6"/>
  <c r="G44" i="6"/>
  <c r="K44" i="6" s="1"/>
  <c r="G45" i="6"/>
  <c r="G46" i="6"/>
  <c r="K46" i="6" s="1"/>
  <c r="G47" i="6"/>
  <c r="G48" i="6"/>
  <c r="K48" i="6" s="1"/>
  <c r="G49" i="6"/>
  <c r="G50" i="6"/>
  <c r="K50" i="6" s="1"/>
  <c r="G51" i="6"/>
  <c r="G52" i="6"/>
  <c r="K52" i="6" s="1"/>
  <c r="G53" i="6"/>
  <c r="G54" i="6"/>
  <c r="K54" i="6" s="1"/>
  <c r="G55" i="6"/>
  <c r="G56" i="6"/>
  <c r="K56" i="6" s="1"/>
  <c r="G57" i="6"/>
  <c r="G58" i="6"/>
  <c r="K58" i="6" s="1"/>
  <c r="G59" i="6"/>
  <c r="G60" i="6"/>
  <c r="K60" i="6" s="1"/>
  <c r="G61" i="6"/>
  <c r="G62" i="6"/>
  <c r="K62" i="6" s="1"/>
  <c r="G63" i="6"/>
  <c r="G64" i="6"/>
  <c r="K64" i="6" s="1"/>
  <c r="G65" i="6"/>
  <c r="G66" i="6"/>
  <c r="K66" i="6" s="1"/>
  <c r="G67" i="6"/>
  <c r="G68" i="6"/>
  <c r="K68" i="6" s="1"/>
  <c r="G69" i="6"/>
  <c r="G70" i="6"/>
  <c r="K70" i="6" s="1"/>
  <c r="G71" i="6"/>
  <c r="G72" i="6"/>
  <c r="K72" i="6" s="1"/>
  <c r="G73" i="6"/>
  <c r="G74" i="6"/>
  <c r="K74" i="6" s="1"/>
  <c r="G75" i="6"/>
  <c r="G76" i="6"/>
  <c r="K76" i="6" s="1"/>
  <c r="G77" i="6"/>
  <c r="G78" i="6"/>
  <c r="K78" i="6" s="1"/>
  <c r="G79" i="6"/>
  <c r="G80" i="6"/>
  <c r="K80" i="6" s="1"/>
  <c r="G81" i="6"/>
  <c r="G82" i="6"/>
  <c r="K82" i="6" s="1"/>
  <c r="G83" i="6"/>
  <c r="G84" i="6"/>
  <c r="K84" i="6" s="1"/>
  <c r="G85" i="6"/>
  <c r="G86" i="6"/>
  <c r="K86" i="6" s="1"/>
  <c r="G87" i="6"/>
  <c r="G88" i="6"/>
  <c r="K88" i="6" s="1"/>
  <c r="G89" i="6"/>
  <c r="G90" i="6"/>
  <c r="K90" i="6" s="1"/>
  <c r="G91" i="6"/>
  <c r="G92" i="6"/>
  <c r="K92" i="6" s="1"/>
  <c r="G93" i="6"/>
  <c r="G94" i="6"/>
  <c r="K94" i="6" s="1"/>
  <c r="G95" i="6"/>
  <c r="G96" i="6"/>
  <c r="K96" i="6" s="1"/>
  <c r="G97" i="6"/>
  <c r="G98" i="6"/>
  <c r="K98" i="6" s="1"/>
  <c r="G99" i="6"/>
  <c r="G100" i="6"/>
  <c r="K100" i="6" s="1"/>
  <c r="G101" i="6"/>
  <c r="G102" i="6"/>
  <c r="K102" i="6" s="1"/>
  <c r="G103" i="6"/>
  <c r="G104" i="6"/>
  <c r="K104" i="6" s="1"/>
  <c r="G105" i="6"/>
  <c r="G106" i="6"/>
  <c r="K106" i="6" s="1"/>
  <c r="G107" i="6"/>
  <c r="G108" i="6"/>
  <c r="K108" i="6" s="1"/>
  <c r="G109" i="6"/>
  <c r="G110" i="6"/>
  <c r="K110" i="6" s="1"/>
  <c r="G111" i="6"/>
  <c r="G112" i="6"/>
  <c r="K112" i="6" s="1"/>
  <c r="G113" i="6"/>
  <c r="G114" i="6"/>
  <c r="K114" i="6" s="1"/>
  <c r="G115" i="6"/>
  <c r="G116" i="6"/>
  <c r="K116" i="6" s="1"/>
  <c r="G117" i="6"/>
  <c r="G118" i="6"/>
  <c r="K118" i="6" s="1"/>
  <c r="G119" i="6"/>
  <c r="G120" i="6"/>
  <c r="K120" i="6" s="1"/>
  <c r="G121" i="6"/>
  <c r="G122" i="6"/>
  <c r="K122" i="6" s="1"/>
  <c r="G123" i="6"/>
  <c r="G124" i="6"/>
  <c r="K124" i="6" s="1"/>
  <c r="G125" i="6"/>
  <c r="G126" i="6"/>
  <c r="K126" i="6" s="1"/>
  <c r="G127" i="6"/>
  <c r="G128" i="6"/>
  <c r="K128" i="6" s="1"/>
  <c r="G129" i="6"/>
  <c r="G130" i="6"/>
  <c r="K130" i="6" s="1"/>
  <c r="G131" i="6"/>
  <c r="G132" i="6"/>
  <c r="K132" i="6" s="1"/>
  <c r="G133" i="6"/>
  <c r="G134" i="6"/>
  <c r="K134" i="6" s="1"/>
  <c r="G135" i="6"/>
  <c r="G136" i="6"/>
  <c r="K136" i="6" s="1"/>
  <c r="G137" i="6"/>
  <c r="G138" i="6"/>
  <c r="K138" i="6" s="1"/>
  <c r="G139" i="6"/>
  <c r="G140" i="6"/>
  <c r="K140" i="6" s="1"/>
  <c r="G141" i="6"/>
  <c r="G142" i="6"/>
  <c r="K142" i="6" s="1"/>
  <c r="G143" i="6"/>
  <c r="G144" i="6"/>
  <c r="K144" i="6" s="1"/>
  <c r="G145" i="6"/>
  <c r="G146" i="6"/>
  <c r="K146" i="6" s="1"/>
  <c r="G147" i="6"/>
  <c r="G148" i="6"/>
  <c r="K148" i="6" s="1"/>
  <c r="G149" i="6"/>
  <c r="G150" i="6"/>
  <c r="K150" i="6" s="1"/>
  <c r="G151" i="6"/>
  <c r="G152" i="6"/>
  <c r="K152" i="6" s="1"/>
  <c r="G153" i="6"/>
  <c r="G154" i="6"/>
  <c r="K154" i="6" s="1"/>
  <c r="G155" i="6"/>
  <c r="G156" i="6"/>
  <c r="K156" i="6" s="1"/>
  <c r="G157" i="6"/>
  <c r="G158" i="6"/>
  <c r="K158" i="6" s="1"/>
  <c r="G159" i="6"/>
  <c r="G160" i="6"/>
  <c r="K160" i="6" s="1"/>
  <c r="G161" i="6"/>
  <c r="G162" i="6"/>
  <c r="K162" i="6" s="1"/>
  <c r="G163" i="6"/>
  <c r="G164" i="6"/>
  <c r="K164" i="6" s="1"/>
  <c r="G165" i="6"/>
  <c r="G166" i="6"/>
  <c r="K166" i="6" s="1"/>
  <c r="G167" i="6"/>
  <c r="G168" i="6"/>
  <c r="K168" i="6" s="1"/>
  <c r="G169" i="6"/>
  <c r="G170" i="6"/>
  <c r="K170" i="6" s="1"/>
  <c r="G171" i="6"/>
  <c r="G172" i="6"/>
  <c r="K172" i="6" s="1"/>
  <c r="G173" i="6"/>
  <c r="G174" i="6"/>
  <c r="K174" i="6" s="1"/>
  <c r="G175" i="6"/>
  <c r="G176" i="6"/>
  <c r="K176" i="6" s="1"/>
  <c r="G177" i="6"/>
  <c r="G178" i="6"/>
  <c r="K178" i="6" s="1"/>
  <c r="G179" i="6"/>
  <c r="G180" i="6"/>
  <c r="K180" i="6" s="1"/>
  <c r="G181" i="6"/>
  <c r="G182" i="6"/>
  <c r="K182" i="6" s="1"/>
  <c r="G183" i="6"/>
  <c r="G184" i="6"/>
  <c r="K184" i="6" s="1"/>
  <c r="G185" i="6"/>
  <c r="G186" i="6"/>
  <c r="K186" i="6" s="1"/>
  <c r="G187" i="6"/>
  <c r="G188" i="6"/>
  <c r="K188" i="6" s="1"/>
  <c r="G189" i="6"/>
  <c r="G190" i="6"/>
  <c r="K190" i="6" s="1"/>
  <c r="G191" i="6"/>
  <c r="G192" i="6"/>
  <c r="K192" i="6" s="1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K234" i="6" s="1"/>
  <c r="G235" i="6"/>
  <c r="G236" i="6"/>
  <c r="K236" i="6" s="1"/>
  <c r="G237" i="6"/>
  <c r="G238" i="6"/>
  <c r="K238" i="6" s="1"/>
  <c r="G239" i="6"/>
  <c r="G240" i="6"/>
  <c r="K240" i="6" s="1"/>
  <c r="G241" i="6"/>
  <c r="G242" i="6"/>
  <c r="K242" i="6" s="1"/>
  <c r="G243" i="6"/>
  <c r="G244" i="6"/>
  <c r="K244" i="6" s="1"/>
  <c r="G245" i="6"/>
  <c r="G246" i="6"/>
  <c r="K246" i="6" s="1"/>
  <c r="G247" i="6"/>
  <c r="G248" i="6"/>
  <c r="K248" i="6" s="1"/>
  <c r="G249" i="6"/>
  <c r="G250" i="6"/>
  <c r="K250" i="6" s="1"/>
  <c r="G251" i="6"/>
  <c r="G252" i="6"/>
  <c r="K252" i="6" s="1"/>
  <c r="G253" i="6"/>
  <c r="G254" i="6"/>
  <c r="K254" i="6" s="1"/>
  <c r="G255" i="6"/>
  <c r="G256" i="6"/>
  <c r="K256" i="6" s="1"/>
  <c r="G257" i="6"/>
  <c r="G258" i="6"/>
  <c r="K258" i="6" s="1"/>
  <c r="G259" i="6"/>
  <c r="G260" i="6"/>
  <c r="K260" i="6" s="1"/>
  <c r="G261" i="6"/>
  <c r="G262" i="6"/>
  <c r="K262" i="6" s="1"/>
  <c r="G7" i="6"/>
  <c r="K7" i="6" s="1"/>
  <c r="V258" i="7"/>
  <c r="X258" i="7" s="1"/>
  <c r="N258" i="7"/>
  <c r="J258" i="7"/>
  <c r="I258" i="7"/>
  <c r="H258" i="7"/>
  <c r="V257" i="7"/>
  <c r="X257" i="7" s="1"/>
  <c r="N257" i="7"/>
  <c r="J257" i="7"/>
  <c r="I257" i="7"/>
  <c r="H257" i="7"/>
  <c r="V256" i="7"/>
  <c r="X256" i="7" s="1"/>
  <c r="N256" i="7"/>
  <c r="J256" i="7"/>
  <c r="I256" i="7"/>
  <c r="H256" i="7"/>
  <c r="V255" i="7"/>
  <c r="X255" i="7" s="1"/>
  <c r="N255" i="7"/>
  <c r="J255" i="7"/>
  <c r="I255" i="7"/>
  <c r="H255" i="7"/>
  <c r="V254" i="7"/>
  <c r="X254" i="7" s="1"/>
  <c r="N254" i="7"/>
  <c r="J254" i="7"/>
  <c r="I254" i="7"/>
  <c r="H254" i="7"/>
  <c r="V253" i="7"/>
  <c r="X253" i="7" s="1"/>
  <c r="N253" i="7"/>
  <c r="J253" i="7"/>
  <c r="I253" i="7"/>
  <c r="H253" i="7"/>
  <c r="V252" i="7"/>
  <c r="X252" i="7" s="1"/>
  <c r="N252" i="7"/>
  <c r="J252" i="7"/>
  <c r="I252" i="7"/>
  <c r="H252" i="7"/>
  <c r="V251" i="7"/>
  <c r="X251" i="7" s="1"/>
  <c r="N251" i="7"/>
  <c r="J251" i="7"/>
  <c r="I251" i="7"/>
  <c r="H251" i="7"/>
  <c r="V250" i="7"/>
  <c r="X250" i="7" s="1"/>
  <c r="N250" i="7"/>
  <c r="J250" i="7"/>
  <c r="I250" i="7"/>
  <c r="H250" i="7"/>
  <c r="V249" i="7"/>
  <c r="X249" i="7" s="1"/>
  <c r="N249" i="7"/>
  <c r="J249" i="7"/>
  <c r="I249" i="7"/>
  <c r="H249" i="7"/>
  <c r="V248" i="7"/>
  <c r="X248" i="7" s="1"/>
  <c r="N248" i="7"/>
  <c r="J248" i="7"/>
  <c r="I248" i="7"/>
  <c r="H248" i="7"/>
  <c r="V247" i="7"/>
  <c r="X247" i="7" s="1"/>
  <c r="N247" i="7"/>
  <c r="J247" i="7"/>
  <c r="I247" i="7"/>
  <c r="H247" i="7"/>
  <c r="V246" i="7"/>
  <c r="X246" i="7" s="1"/>
  <c r="N246" i="7"/>
  <c r="J246" i="7"/>
  <c r="I246" i="7"/>
  <c r="H246" i="7"/>
  <c r="V245" i="7"/>
  <c r="X245" i="7" s="1"/>
  <c r="N245" i="7"/>
  <c r="J245" i="7"/>
  <c r="I245" i="7"/>
  <c r="H245" i="7"/>
  <c r="V244" i="7"/>
  <c r="X244" i="7" s="1"/>
  <c r="N244" i="7"/>
  <c r="J244" i="7"/>
  <c r="I244" i="7"/>
  <c r="H244" i="7"/>
  <c r="V243" i="7"/>
  <c r="X243" i="7" s="1"/>
  <c r="N243" i="7"/>
  <c r="J243" i="7"/>
  <c r="I243" i="7"/>
  <c r="H243" i="7"/>
  <c r="V242" i="7"/>
  <c r="X242" i="7" s="1"/>
  <c r="N242" i="7"/>
  <c r="J242" i="7"/>
  <c r="I242" i="7"/>
  <c r="H242" i="7"/>
  <c r="V241" i="7"/>
  <c r="X241" i="7" s="1"/>
  <c r="N241" i="7"/>
  <c r="J241" i="7"/>
  <c r="I241" i="7"/>
  <c r="H241" i="7"/>
  <c r="V240" i="7"/>
  <c r="X240" i="7" s="1"/>
  <c r="N240" i="7"/>
  <c r="J240" i="7"/>
  <c r="I240" i="7"/>
  <c r="H240" i="7"/>
  <c r="V239" i="7"/>
  <c r="X239" i="7" s="1"/>
  <c r="N239" i="7"/>
  <c r="J239" i="7"/>
  <c r="I239" i="7"/>
  <c r="H239" i="7"/>
  <c r="V238" i="7"/>
  <c r="X238" i="7" s="1"/>
  <c r="N238" i="7"/>
  <c r="J238" i="7"/>
  <c r="I238" i="7"/>
  <c r="H238" i="7"/>
  <c r="V237" i="7"/>
  <c r="W237" i="7" s="1"/>
  <c r="N237" i="7"/>
  <c r="J237" i="7"/>
  <c r="I237" i="7"/>
  <c r="H237" i="7"/>
  <c r="V236" i="7"/>
  <c r="W236" i="7" s="1"/>
  <c r="N236" i="7"/>
  <c r="J236" i="7"/>
  <c r="I236" i="7"/>
  <c r="H236" i="7"/>
  <c r="V235" i="7"/>
  <c r="W235" i="7" s="1"/>
  <c r="N235" i="7"/>
  <c r="J235" i="7"/>
  <c r="I235" i="7"/>
  <c r="H235" i="7"/>
  <c r="V234" i="7"/>
  <c r="W234" i="7" s="1"/>
  <c r="N234" i="7"/>
  <c r="J234" i="7"/>
  <c r="I234" i="7"/>
  <c r="H234" i="7"/>
  <c r="V233" i="7"/>
  <c r="W233" i="7" s="1"/>
  <c r="N233" i="7"/>
  <c r="J233" i="7"/>
  <c r="I233" i="7"/>
  <c r="H233" i="7"/>
  <c r="V232" i="7"/>
  <c r="W232" i="7" s="1"/>
  <c r="N232" i="7"/>
  <c r="J232" i="7"/>
  <c r="I232" i="7"/>
  <c r="H232" i="7"/>
  <c r="V231" i="7"/>
  <c r="W231" i="7" s="1"/>
  <c r="N231" i="7"/>
  <c r="J231" i="7"/>
  <c r="I231" i="7"/>
  <c r="H231" i="7"/>
  <c r="V230" i="7"/>
  <c r="W230" i="7" s="1"/>
  <c r="N230" i="7"/>
  <c r="J230" i="7"/>
  <c r="I230" i="7"/>
  <c r="H230" i="7"/>
  <c r="V229" i="7"/>
  <c r="W229" i="7" s="1"/>
  <c r="N229" i="7"/>
  <c r="J229" i="7"/>
  <c r="I229" i="7"/>
  <c r="H229" i="7"/>
  <c r="V228" i="7"/>
  <c r="W228" i="7" s="1"/>
  <c r="N228" i="7"/>
  <c r="J228" i="7"/>
  <c r="I228" i="7"/>
  <c r="H228" i="7"/>
  <c r="V227" i="7"/>
  <c r="W227" i="7" s="1"/>
  <c r="N227" i="7"/>
  <c r="J227" i="7"/>
  <c r="I227" i="7"/>
  <c r="H227" i="7"/>
  <c r="V226" i="7"/>
  <c r="W226" i="7" s="1"/>
  <c r="N226" i="7"/>
  <c r="J226" i="7"/>
  <c r="I226" i="7"/>
  <c r="H226" i="7"/>
  <c r="V225" i="7"/>
  <c r="W225" i="7" s="1"/>
  <c r="N225" i="7"/>
  <c r="J225" i="7"/>
  <c r="I225" i="7"/>
  <c r="H225" i="7"/>
  <c r="V224" i="7"/>
  <c r="W224" i="7" s="1"/>
  <c r="N224" i="7"/>
  <c r="J224" i="7"/>
  <c r="I224" i="7"/>
  <c r="H224" i="7"/>
  <c r="V223" i="7"/>
  <c r="W223" i="7" s="1"/>
  <c r="N223" i="7"/>
  <c r="J223" i="7"/>
  <c r="I223" i="7"/>
  <c r="H223" i="7"/>
  <c r="V222" i="7"/>
  <c r="W222" i="7" s="1"/>
  <c r="N222" i="7"/>
  <c r="J222" i="7"/>
  <c r="I222" i="7"/>
  <c r="H222" i="7"/>
  <c r="V221" i="7"/>
  <c r="W221" i="7" s="1"/>
  <c r="N221" i="7"/>
  <c r="J221" i="7"/>
  <c r="I221" i="7"/>
  <c r="H221" i="7"/>
  <c r="V220" i="7"/>
  <c r="W220" i="7" s="1"/>
  <c r="N220" i="7"/>
  <c r="J220" i="7"/>
  <c r="I220" i="7"/>
  <c r="H220" i="7"/>
  <c r="V219" i="7"/>
  <c r="W219" i="7" s="1"/>
  <c r="N219" i="7"/>
  <c r="J219" i="7"/>
  <c r="I219" i="7"/>
  <c r="H219" i="7"/>
  <c r="V218" i="7"/>
  <c r="W218" i="7" s="1"/>
  <c r="N218" i="7"/>
  <c r="J218" i="7"/>
  <c r="I218" i="7"/>
  <c r="H218" i="7"/>
  <c r="V217" i="7"/>
  <c r="W217" i="7" s="1"/>
  <c r="N217" i="7"/>
  <c r="J217" i="7"/>
  <c r="I217" i="7"/>
  <c r="H217" i="7"/>
  <c r="V216" i="7"/>
  <c r="W216" i="7" s="1"/>
  <c r="N216" i="7"/>
  <c r="J216" i="7"/>
  <c r="I216" i="7"/>
  <c r="H216" i="7"/>
  <c r="V215" i="7"/>
  <c r="X215" i="7" s="1"/>
  <c r="N215" i="7"/>
  <c r="J215" i="7"/>
  <c r="I215" i="7"/>
  <c r="H215" i="7"/>
  <c r="V214" i="7"/>
  <c r="X214" i="7" s="1"/>
  <c r="N214" i="7"/>
  <c r="J214" i="7"/>
  <c r="I214" i="7"/>
  <c r="H214" i="7"/>
  <c r="V213" i="7"/>
  <c r="X213" i="7" s="1"/>
  <c r="N213" i="7"/>
  <c r="J213" i="7"/>
  <c r="I213" i="7"/>
  <c r="H213" i="7"/>
  <c r="V212" i="7"/>
  <c r="X212" i="7" s="1"/>
  <c r="N212" i="7"/>
  <c r="J212" i="7"/>
  <c r="I212" i="7"/>
  <c r="H212" i="7"/>
  <c r="V211" i="7"/>
  <c r="X211" i="7" s="1"/>
  <c r="N211" i="7"/>
  <c r="J211" i="7"/>
  <c r="I211" i="7"/>
  <c r="H211" i="7"/>
  <c r="V210" i="7"/>
  <c r="X210" i="7" s="1"/>
  <c r="N210" i="7"/>
  <c r="J210" i="7"/>
  <c r="I210" i="7"/>
  <c r="H210" i="7"/>
  <c r="V209" i="7"/>
  <c r="X209" i="7" s="1"/>
  <c r="N209" i="7"/>
  <c r="J209" i="7"/>
  <c r="I209" i="7"/>
  <c r="H209" i="7"/>
  <c r="V208" i="7"/>
  <c r="X208" i="7" s="1"/>
  <c r="N208" i="7"/>
  <c r="J208" i="7"/>
  <c r="I208" i="7"/>
  <c r="H208" i="7"/>
  <c r="V207" i="7"/>
  <c r="X207" i="7" s="1"/>
  <c r="N207" i="7"/>
  <c r="J207" i="7"/>
  <c r="I207" i="7"/>
  <c r="H207" i="7"/>
  <c r="V206" i="7"/>
  <c r="X206" i="7" s="1"/>
  <c r="N206" i="7"/>
  <c r="J206" i="7"/>
  <c r="I206" i="7"/>
  <c r="H206" i="7"/>
  <c r="V205" i="7"/>
  <c r="X205" i="7" s="1"/>
  <c r="N205" i="7"/>
  <c r="J205" i="7"/>
  <c r="I205" i="7"/>
  <c r="H205" i="7"/>
  <c r="V204" i="7"/>
  <c r="X204" i="7" s="1"/>
  <c r="N204" i="7"/>
  <c r="J204" i="7"/>
  <c r="I204" i="7"/>
  <c r="H204" i="7"/>
  <c r="V203" i="7"/>
  <c r="X203" i="7" s="1"/>
  <c r="N203" i="7"/>
  <c r="J203" i="7"/>
  <c r="I203" i="7"/>
  <c r="H203" i="7"/>
  <c r="V202" i="7"/>
  <c r="X202" i="7" s="1"/>
  <c r="N202" i="7"/>
  <c r="J202" i="7"/>
  <c r="I202" i="7"/>
  <c r="H202" i="7"/>
  <c r="V201" i="7"/>
  <c r="X201" i="7" s="1"/>
  <c r="N201" i="7"/>
  <c r="J201" i="7"/>
  <c r="I201" i="7"/>
  <c r="H201" i="7"/>
  <c r="V200" i="7"/>
  <c r="X200" i="7" s="1"/>
  <c r="N200" i="7"/>
  <c r="J200" i="7"/>
  <c r="I200" i="7"/>
  <c r="H200" i="7"/>
  <c r="V199" i="7"/>
  <c r="X199" i="7" s="1"/>
  <c r="N199" i="7"/>
  <c r="J199" i="7"/>
  <c r="I199" i="7"/>
  <c r="H199" i="7"/>
  <c r="V198" i="7"/>
  <c r="X198" i="7" s="1"/>
  <c r="N198" i="7"/>
  <c r="J198" i="7"/>
  <c r="I198" i="7"/>
  <c r="H198" i="7"/>
  <c r="V197" i="7"/>
  <c r="X197" i="7" s="1"/>
  <c r="N197" i="7"/>
  <c r="J197" i="7"/>
  <c r="I197" i="7"/>
  <c r="H197" i="7"/>
  <c r="V196" i="7"/>
  <c r="X196" i="7" s="1"/>
  <c r="N196" i="7"/>
  <c r="J196" i="7"/>
  <c r="I196" i="7"/>
  <c r="H196" i="7"/>
  <c r="V195" i="7"/>
  <c r="X195" i="7" s="1"/>
  <c r="N195" i="7"/>
  <c r="J195" i="7"/>
  <c r="I195" i="7"/>
  <c r="H195" i="7"/>
  <c r="V194" i="7"/>
  <c r="W194" i="7" s="1"/>
  <c r="N194" i="7"/>
  <c r="J194" i="7"/>
  <c r="I194" i="7"/>
  <c r="H194" i="7"/>
  <c r="V193" i="7"/>
  <c r="W193" i="7" s="1"/>
  <c r="N193" i="7"/>
  <c r="J193" i="7"/>
  <c r="I193" i="7"/>
  <c r="H193" i="7"/>
  <c r="V192" i="7"/>
  <c r="W192" i="7" s="1"/>
  <c r="N192" i="7"/>
  <c r="J192" i="7"/>
  <c r="I192" i="7"/>
  <c r="H192" i="7"/>
  <c r="V191" i="7"/>
  <c r="W191" i="7" s="1"/>
  <c r="N191" i="7"/>
  <c r="J191" i="7"/>
  <c r="I191" i="7"/>
  <c r="H191" i="7"/>
  <c r="V190" i="7"/>
  <c r="W190" i="7" s="1"/>
  <c r="N190" i="7"/>
  <c r="J190" i="7"/>
  <c r="I190" i="7"/>
  <c r="H190" i="7"/>
  <c r="V189" i="7"/>
  <c r="W189" i="7" s="1"/>
  <c r="N189" i="7"/>
  <c r="J189" i="7"/>
  <c r="I189" i="7"/>
  <c r="H189" i="7"/>
  <c r="V188" i="7"/>
  <c r="W188" i="7" s="1"/>
  <c r="N188" i="7"/>
  <c r="J188" i="7"/>
  <c r="I188" i="7"/>
  <c r="H188" i="7"/>
  <c r="V187" i="7"/>
  <c r="W187" i="7" s="1"/>
  <c r="N187" i="7"/>
  <c r="J187" i="7"/>
  <c r="I187" i="7"/>
  <c r="H187" i="7"/>
  <c r="V186" i="7"/>
  <c r="W186" i="7" s="1"/>
  <c r="N186" i="7"/>
  <c r="J186" i="7"/>
  <c r="I186" i="7"/>
  <c r="H186" i="7"/>
  <c r="V185" i="7"/>
  <c r="W185" i="7" s="1"/>
  <c r="N185" i="7"/>
  <c r="J185" i="7"/>
  <c r="I185" i="7"/>
  <c r="H185" i="7"/>
  <c r="V184" i="7"/>
  <c r="W184" i="7" s="1"/>
  <c r="N184" i="7"/>
  <c r="J184" i="7"/>
  <c r="I184" i="7"/>
  <c r="H184" i="7"/>
  <c r="V183" i="7"/>
  <c r="W183" i="7" s="1"/>
  <c r="N183" i="7"/>
  <c r="J183" i="7"/>
  <c r="I183" i="7"/>
  <c r="H183" i="7"/>
  <c r="V182" i="7"/>
  <c r="W182" i="7" s="1"/>
  <c r="N182" i="7"/>
  <c r="J182" i="7"/>
  <c r="I182" i="7"/>
  <c r="H182" i="7"/>
  <c r="V181" i="7"/>
  <c r="W181" i="7" s="1"/>
  <c r="N181" i="7"/>
  <c r="J181" i="7"/>
  <c r="I181" i="7"/>
  <c r="H181" i="7"/>
  <c r="V180" i="7"/>
  <c r="W180" i="7" s="1"/>
  <c r="N180" i="7"/>
  <c r="J180" i="7"/>
  <c r="I180" i="7"/>
  <c r="H180" i="7"/>
  <c r="V179" i="7"/>
  <c r="W179" i="7" s="1"/>
  <c r="N179" i="7"/>
  <c r="J179" i="7"/>
  <c r="I179" i="7"/>
  <c r="H179" i="7"/>
  <c r="V178" i="7"/>
  <c r="W178" i="7" s="1"/>
  <c r="N178" i="7"/>
  <c r="J178" i="7"/>
  <c r="I178" i="7"/>
  <c r="H178" i="7"/>
  <c r="V177" i="7"/>
  <c r="W177" i="7" s="1"/>
  <c r="N177" i="7"/>
  <c r="J177" i="7"/>
  <c r="I177" i="7"/>
  <c r="H177" i="7"/>
  <c r="V176" i="7"/>
  <c r="W176" i="7" s="1"/>
  <c r="N176" i="7"/>
  <c r="J176" i="7"/>
  <c r="I176" i="7"/>
  <c r="H176" i="7"/>
  <c r="V175" i="7"/>
  <c r="W175" i="7" s="1"/>
  <c r="N175" i="7"/>
  <c r="J175" i="7"/>
  <c r="I175" i="7"/>
  <c r="H175" i="7"/>
  <c r="V174" i="7"/>
  <c r="W174" i="7" s="1"/>
  <c r="N174" i="7"/>
  <c r="J174" i="7"/>
  <c r="I174" i="7"/>
  <c r="H174" i="7"/>
  <c r="V173" i="7"/>
  <c r="W173" i="7" s="1"/>
  <c r="N173" i="7"/>
  <c r="J173" i="7"/>
  <c r="I173" i="7"/>
  <c r="H173" i="7"/>
  <c r="V172" i="7"/>
  <c r="W172" i="7" s="1"/>
  <c r="N172" i="7"/>
  <c r="J172" i="7"/>
  <c r="I172" i="7"/>
  <c r="H172" i="7"/>
  <c r="V171" i="7"/>
  <c r="W171" i="7" s="1"/>
  <c r="N171" i="7"/>
  <c r="J171" i="7"/>
  <c r="I171" i="7"/>
  <c r="H171" i="7"/>
  <c r="V170" i="7"/>
  <c r="W170" i="7" s="1"/>
  <c r="N170" i="7"/>
  <c r="J170" i="7"/>
  <c r="I170" i="7"/>
  <c r="H170" i="7"/>
  <c r="V169" i="7"/>
  <c r="W169" i="7" s="1"/>
  <c r="N169" i="7"/>
  <c r="J169" i="7"/>
  <c r="I169" i="7"/>
  <c r="H169" i="7"/>
  <c r="V168" i="7"/>
  <c r="W168" i="7" s="1"/>
  <c r="N168" i="7"/>
  <c r="J168" i="7"/>
  <c r="I168" i="7"/>
  <c r="H168" i="7"/>
  <c r="V167" i="7"/>
  <c r="W167" i="7" s="1"/>
  <c r="N167" i="7"/>
  <c r="J167" i="7"/>
  <c r="I167" i="7"/>
  <c r="H167" i="7"/>
  <c r="V166" i="7"/>
  <c r="W166" i="7" s="1"/>
  <c r="N166" i="7"/>
  <c r="J166" i="7"/>
  <c r="I166" i="7"/>
  <c r="H166" i="7"/>
  <c r="V165" i="7"/>
  <c r="W165" i="7" s="1"/>
  <c r="N165" i="7"/>
  <c r="J165" i="7"/>
  <c r="I165" i="7"/>
  <c r="H165" i="7"/>
  <c r="V164" i="7"/>
  <c r="W164" i="7" s="1"/>
  <c r="N164" i="7"/>
  <c r="J164" i="7"/>
  <c r="I164" i="7"/>
  <c r="H164" i="7"/>
  <c r="V163" i="7"/>
  <c r="W163" i="7" s="1"/>
  <c r="N163" i="7"/>
  <c r="J163" i="7"/>
  <c r="I163" i="7"/>
  <c r="H163" i="7"/>
  <c r="V162" i="7"/>
  <c r="W162" i="7" s="1"/>
  <c r="N162" i="7"/>
  <c r="J162" i="7"/>
  <c r="I162" i="7"/>
  <c r="H162" i="7"/>
  <c r="V161" i="7"/>
  <c r="W161" i="7" s="1"/>
  <c r="N161" i="7"/>
  <c r="J161" i="7"/>
  <c r="I161" i="7"/>
  <c r="H161" i="7"/>
  <c r="V160" i="7"/>
  <c r="W160" i="7" s="1"/>
  <c r="N160" i="7"/>
  <c r="J160" i="7"/>
  <c r="I160" i="7"/>
  <c r="H160" i="7"/>
  <c r="V159" i="7"/>
  <c r="W159" i="7" s="1"/>
  <c r="N159" i="7"/>
  <c r="J159" i="7"/>
  <c r="I159" i="7"/>
  <c r="H159" i="7"/>
  <c r="V158" i="7"/>
  <c r="X158" i="7" s="1"/>
  <c r="N158" i="7"/>
  <c r="J158" i="7"/>
  <c r="I158" i="7"/>
  <c r="H158" i="7"/>
  <c r="V157" i="7"/>
  <c r="X157" i="7" s="1"/>
  <c r="N157" i="7"/>
  <c r="J157" i="7"/>
  <c r="I157" i="7"/>
  <c r="H157" i="7"/>
  <c r="V156" i="7"/>
  <c r="X156" i="7" s="1"/>
  <c r="N156" i="7"/>
  <c r="J156" i="7"/>
  <c r="I156" i="7"/>
  <c r="H156" i="7"/>
  <c r="V155" i="7"/>
  <c r="X155" i="7" s="1"/>
  <c r="N155" i="7"/>
  <c r="J155" i="7"/>
  <c r="I155" i="7"/>
  <c r="H155" i="7"/>
  <c r="V154" i="7"/>
  <c r="X154" i="7" s="1"/>
  <c r="N154" i="7"/>
  <c r="J154" i="7"/>
  <c r="I154" i="7"/>
  <c r="H154" i="7"/>
  <c r="V153" i="7"/>
  <c r="X153" i="7" s="1"/>
  <c r="N153" i="7"/>
  <c r="J153" i="7"/>
  <c r="I153" i="7"/>
  <c r="H153" i="7"/>
  <c r="V152" i="7"/>
  <c r="X152" i="7" s="1"/>
  <c r="N152" i="7"/>
  <c r="J152" i="7"/>
  <c r="I152" i="7"/>
  <c r="H152" i="7"/>
  <c r="V151" i="7"/>
  <c r="N151" i="7"/>
  <c r="J151" i="7"/>
  <c r="I151" i="7"/>
  <c r="H151" i="7"/>
  <c r="V150" i="7"/>
  <c r="N150" i="7"/>
  <c r="J150" i="7"/>
  <c r="I150" i="7"/>
  <c r="H150" i="7"/>
  <c r="V149" i="7"/>
  <c r="N149" i="7"/>
  <c r="J149" i="7"/>
  <c r="I149" i="7"/>
  <c r="H149" i="7"/>
  <c r="V148" i="7"/>
  <c r="N148" i="7"/>
  <c r="J148" i="7"/>
  <c r="I148" i="7"/>
  <c r="H148" i="7"/>
  <c r="V147" i="7"/>
  <c r="N147" i="7"/>
  <c r="J147" i="7"/>
  <c r="I147" i="7"/>
  <c r="H147" i="7"/>
  <c r="V146" i="7"/>
  <c r="X146" i="7" s="1"/>
  <c r="N146" i="7"/>
  <c r="J146" i="7"/>
  <c r="I146" i="7"/>
  <c r="H146" i="7"/>
  <c r="V145" i="7"/>
  <c r="X145" i="7" s="1"/>
  <c r="N145" i="7"/>
  <c r="J145" i="7"/>
  <c r="I145" i="7"/>
  <c r="H145" i="7"/>
  <c r="V144" i="7"/>
  <c r="N144" i="7"/>
  <c r="J144" i="7"/>
  <c r="I144" i="7"/>
  <c r="H144" i="7"/>
  <c r="V143" i="7"/>
  <c r="N143" i="7"/>
  <c r="J143" i="7"/>
  <c r="I143" i="7"/>
  <c r="H143" i="7"/>
  <c r="V142" i="7"/>
  <c r="X142" i="7" s="1"/>
  <c r="N142" i="7"/>
  <c r="J142" i="7"/>
  <c r="I142" i="7"/>
  <c r="H142" i="7"/>
  <c r="V141" i="7"/>
  <c r="X141" i="7" s="1"/>
  <c r="N141" i="7"/>
  <c r="J141" i="7"/>
  <c r="I141" i="7"/>
  <c r="H141" i="7"/>
  <c r="V140" i="7"/>
  <c r="N140" i="7"/>
  <c r="J140" i="7"/>
  <c r="I140" i="7"/>
  <c r="H140" i="7"/>
  <c r="V139" i="7"/>
  <c r="N139" i="7"/>
  <c r="J139" i="7"/>
  <c r="I139" i="7"/>
  <c r="H139" i="7"/>
  <c r="V138" i="7"/>
  <c r="X138" i="7" s="1"/>
  <c r="N138" i="7"/>
  <c r="J138" i="7"/>
  <c r="I138" i="7"/>
  <c r="H138" i="7"/>
  <c r="V137" i="7"/>
  <c r="X137" i="7" s="1"/>
  <c r="N137" i="7"/>
  <c r="J137" i="7"/>
  <c r="I137" i="7"/>
  <c r="H137" i="7"/>
  <c r="V136" i="7"/>
  <c r="N136" i="7"/>
  <c r="J136" i="7"/>
  <c r="I136" i="7"/>
  <c r="H136" i="7"/>
  <c r="V135" i="7"/>
  <c r="N135" i="7"/>
  <c r="J135" i="7"/>
  <c r="I135" i="7"/>
  <c r="H135" i="7"/>
  <c r="V134" i="7"/>
  <c r="X134" i="7" s="1"/>
  <c r="N134" i="7"/>
  <c r="J134" i="7"/>
  <c r="I134" i="7"/>
  <c r="H134" i="7"/>
  <c r="V133" i="7"/>
  <c r="X133" i="7" s="1"/>
  <c r="N133" i="7"/>
  <c r="J133" i="7"/>
  <c r="I133" i="7"/>
  <c r="H133" i="7"/>
  <c r="V132" i="7"/>
  <c r="N132" i="7"/>
  <c r="J132" i="7"/>
  <c r="I132" i="7"/>
  <c r="H132" i="7"/>
  <c r="V131" i="7"/>
  <c r="N131" i="7"/>
  <c r="J131" i="7"/>
  <c r="I131" i="7"/>
  <c r="H131" i="7"/>
  <c r="V130" i="7"/>
  <c r="X130" i="7" s="1"/>
  <c r="N130" i="7"/>
  <c r="J130" i="7"/>
  <c r="I130" i="7"/>
  <c r="H130" i="7"/>
  <c r="V129" i="7"/>
  <c r="X129" i="7" s="1"/>
  <c r="N129" i="7"/>
  <c r="J129" i="7"/>
  <c r="I129" i="7"/>
  <c r="H129" i="7"/>
  <c r="V128" i="7"/>
  <c r="N128" i="7"/>
  <c r="J128" i="7"/>
  <c r="I128" i="7"/>
  <c r="H128" i="7"/>
  <c r="V127" i="7"/>
  <c r="N127" i="7"/>
  <c r="J127" i="7"/>
  <c r="I127" i="7"/>
  <c r="H127" i="7"/>
  <c r="V126" i="7"/>
  <c r="X126" i="7" s="1"/>
  <c r="N126" i="7"/>
  <c r="J126" i="7"/>
  <c r="I126" i="7"/>
  <c r="H126" i="7"/>
  <c r="V125" i="7"/>
  <c r="X125" i="7" s="1"/>
  <c r="N125" i="7"/>
  <c r="J125" i="7"/>
  <c r="I125" i="7"/>
  <c r="H125" i="7"/>
  <c r="V124" i="7"/>
  <c r="N124" i="7"/>
  <c r="J124" i="7"/>
  <c r="I124" i="7"/>
  <c r="H124" i="7"/>
  <c r="V123" i="7"/>
  <c r="N123" i="7"/>
  <c r="J123" i="7"/>
  <c r="I123" i="7"/>
  <c r="H123" i="7"/>
  <c r="V122" i="7"/>
  <c r="X122" i="7" s="1"/>
  <c r="N122" i="7"/>
  <c r="J122" i="7"/>
  <c r="I122" i="7"/>
  <c r="H122" i="7"/>
  <c r="V121" i="7"/>
  <c r="X121" i="7" s="1"/>
  <c r="N121" i="7"/>
  <c r="J121" i="7"/>
  <c r="I121" i="7"/>
  <c r="H121" i="7"/>
  <c r="V120" i="7"/>
  <c r="N120" i="7"/>
  <c r="J120" i="7"/>
  <c r="I120" i="7"/>
  <c r="H120" i="7"/>
  <c r="V119" i="7"/>
  <c r="N119" i="7"/>
  <c r="J119" i="7"/>
  <c r="I119" i="7"/>
  <c r="H119" i="7"/>
  <c r="V118" i="7"/>
  <c r="X118" i="7" s="1"/>
  <c r="N118" i="7"/>
  <c r="J118" i="7"/>
  <c r="I118" i="7"/>
  <c r="H118" i="7"/>
  <c r="V117" i="7"/>
  <c r="X117" i="7" s="1"/>
  <c r="N117" i="7"/>
  <c r="J117" i="7"/>
  <c r="I117" i="7"/>
  <c r="H117" i="7"/>
  <c r="V116" i="7"/>
  <c r="N116" i="7"/>
  <c r="J116" i="7"/>
  <c r="I116" i="7"/>
  <c r="H116" i="7"/>
  <c r="V115" i="7"/>
  <c r="N115" i="7"/>
  <c r="J115" i="7"/>
  <c r="I115" i="7"/>
  <c r="H115" i="7"/>
  <c r="V114" i="7"/>
  <c r="X114" i="7" s="1"/>
  <c r="N114" i="7"/>
  <c r="J114" i="7"/>
  <c r="I114" i="7"/>
  <c r="H114" i="7"/>
  <c r="V113" i="7"/>
  <c r="X113" i="7" s="1"/>
  <c r="N113" i="7"/>
  <c r="J113" i="7"/>
  <c r="I113" i="7"/>
  <c r="H113" i="7"/>
  <c r="V112" i="7"/>
  <c r="X112" i="7" s="1"/>
  <c r="N112" i="7"/>
  <c r="J112" i="7"/>
  <c r="I112" i="7"/>
  <c r="H112" i="7"/>
  <c r="V111" i="7"/>
  <c r="X111" i="7" s="1"/>
  <c r="N111" i="7"/>
  <c r="J111" i="7"/>
  <c r="I111" i="7"/>
  <c r="H111" i="7"/>
  <c r="V110" i="7"/>
  <c r="X110" i="7" s="1"/>
  <c r="N110" i="7"/>
  <c r="J110" i="7"/>
  <c r="I110" i="7"/>
  <c r="H110" i="7"/>
  <c r="V109" i="7"/>
  <c r="X109" i="7" s="1"/>
  <c r="N109" i="7"/>
  <c r="J109" i="7"/>
  <c r="I109" i="7"/>
  <c r="H109" i="7"/>
  <c r="V108" i="7"/>
  <c r="X108" i="7" s="1"/>
  <c r="N108" i="7"/>
  <c r="J108" i="7"/>
  <c r="I108" i="7"/>
  <c r="H108" i="7"/>
  <c r="V107" i="7"/>
  <c r="X107" i="7" s="1"/>
  <c r="N107" i="7"/>
  <c r="J107" i="7"/>
  <c r="I107" i="7"/>
  <c r="H107" i="7"/>
  <c r="V106" i="7"/>
  <c r="N106" i="7"/>
  <c r="J106" i="7"/>
  <c r="I106" i="7"/>
  <c r="H106" i="7"/>
  <c r="V105" i="7"/>
  <c r="N105" i="7"/>
  <c r="J105" i="7"/>
  <c r="I105" i="7"/>
  <c r="H105" i="7"/>
  <c r="V104" i="7"/>
  <c r="X104" i="7" s="1"/>
  <c r="N104" i="7"/>
  <c r="J104" i="7"/>
  <c r="I104" i="7"/>
  <c r="H104" i="7"/>
  <c r="V103" i="7"/>
  <c r="X103" i="7" s="1"/>
  <c r="N103" i="7"/>
  <c r="J103" i="7"/>
  <c r="I103" i="7"/>
  <c r="H103" i="7"/>
  <c r="V102" i="7"/>
  <c r="N102" i="7"/>
  <c r="J102" i="7"/>
  <c r="I102" i="7"/>
  <c r="H102" i="7"/>
  <c r="V101" i="7"/>
  <c r="N101" i="7"/>
  <c r="J101" i="7"/>
  <c r="I101" i="7"/>
  <c r="H101" i="7"/>
  <c r="V100" i="7"/>
  <c r="X100" i="7" s="1"/>
  <c r="N100" i="7"/>
  <c r="J100" i="7"/>
  <c r="I100" i="7"/>
  <c r="H100" i="7"/>
  <c r="V99" i="7"/>
  <c r="X99" i="7" s="1"/>
  <c r="N99" i="7"/>
  <c r="J99" i="7"/>
  <c r="I99" i="7"/>
  <c r="H99" i="7"/>
  <c r="V98" i="7"/>
  <c r="N98" i="7"/>
  <c r="J98" i="7"/>
  <c r="I98" i="7"/>
  <c r="H98" i="7"/>
  <c r="V97" i="7"/>
  <c r="N97" i="7"/>
  <c r="J97" i="7"/>
  <c r="I97" i="7"/>
  <c r="H97" i="7"/>
  <c r="V96" i="7"/>
  <c r="X96" i="7" s="1"/>
  <c r="N96" i="7"/>
  <c r="J96" i="7"/>
  <c r="I96" i="7"/>
  <c r="H96" i="7"/>
  <c r="V95" i="7"/>
  <c r="X95" i="7" s="1"/>
  <c r="N95" i="7"/>
  <c r="J95" i="7"/>
  <c r="I95" i="7"/>
  <c r="H95" i="7"/>
  <c r="V94" i="7"/>
  <c r="N94" i="7"/>
  <c r="J94" i="7"/>
  <c r="I94" i="7"/>
  <c r="H94" i="7"/>
  <c r="V93" i="7"/>
  <c r="N93" i="7"/>
  <c r="J93" i="7"/>
  <c r="I93" i="7"/>
  <c r="H93" i="7"/>
  <c r="V92" i="7"/>
  <c r="X92" i="7" s="1"/>
  <c r="N92" i="7"/>
  <c r="J92" i="7"/>
  <c r="I92" i="7"/>
  <c r="H92" i="7"/>
  <c r="V91" i="7"/>
  <c r="X91" i="7" s="1"/>
  <c r="N91" i="7"/>
  <c r="J91" i="7"/>
  <c r="I91" i="7"/>
  <c r="H91" i="7"/>
  <c r="V90" i="7"/>
  <c r="N90" i="7"/>
  <c r="J90" i="7"/>
  <c r="I90" i="7"/>
  <c r="H90" i="7"/>
  <c r="V89" i="7"/>
  <c r="N89" i="7"/>
  <c r="J89" i="7"/>
  <c r="I89" i="7"/>
  <c r="H89" i="7"/>
  <c r="V88" i="7"/>
  <c r="X88" i="7" s="1"/>
  <c r="N88" i="7"/>
  <c r="J88" i="7"/>
  <c r="I88" i="7"/>
  <c r="H88" i="7"/>
  <c r="V87" i="7"/>
  <c r="X87" i="7" s="1"/>
  <c r="N87" i="7"/>
  <c r="J87" i="7"/>
  <c r="I87" i="7"/>
  <c r="H87" i="7"/>
  <c r="V86" i="7"/>
  <c r="N86" i="7"/>
  <c r="J86" i="7"/>
  <c r="I86" i="7"/>
  <c r="H86" i="7"/>
  <c r="V85" i="7"/>
  <c r="N85" i="7"/>
  <c r="J85" i="7"/>
  <c r="I85" i="7"/>
  <c r="H85" i="7"/>
  <c r="V84" i="7"/>
  <c r="X84" i="7" s="1"/>
  <c r="N84" i="7"/>
  <c r="J84" i="7"/>
  <c r="I84" i="7"/>
  <c r="H84" i="7"/>
  <c r="V83" i="7"/>
  <c r="X83" i="7" s="1"/>
  <c r="N83" i="7"/>
  <c r="J83" i="7"/>
  <c r="I83" i="7"/>
  <c r="H83" i="7"/>
  <c r="V82" i="7"/>
  <c r="N82" i="7"/>
  <c r="J82" i="7"/>
  <c r="I82" i="7"/>
  <c r="H82" i="7"/>
  <c r="V81" i="7"/>
  <c r="N81" i="7"/>
  <c r="J81" i="7"/>
  <c r="I81" i="7"/>
  <c r="H81" i="7"/>
  <c r="V80" i="7"/>
  <c r="X80" i="7" s="1"/>
  <c r="N80" i="7"/>
  <c r="J80" i="7"/>
  <c r="I80" i="7"/>
  <c r="H80" i="7"/>
  <c r="V79" i="7"/>
  <c r="X79" i="7" s="1"/>
  <c r="N79" i="7"/>
  <c r="J79" i="7"/>
  <c r="I79" i="7"/>
  <c r="H79" i="7"/>
  <c r="V78" i="7"/>
  <c r="N78" i="7"/>
  <c r="J78" i="7"/>
  <c r="I78" i="7"/>
  <c r="H78" i="7"/>
  <c r="V77" i="7"/>
  <c r="N77" i="7"/>
  <c r="J77" i="7"/>
  <c r="I77" i="7"/>
  <c r="H77" i="7"/>
  <c r="V76" i="7"/>
  <c r="X76" i="7" s="1"/>
  <c r="N76" i="7"/>
  <c r="J76" i="7"/>
  <c r="I76" i="7"/>
  <c r="H76" i="7"/>
  <c r="V75" i="7"/>
  <c r="X75" i="7" s="1"/>
  <c r="N75" i="7"/>
  <c r="J75" i="7"/>
  <c r="I75" i="7"/>
  <c r="H75" i="7"/>
  <c r="V74" i="7"/>
  <c r="N74" i="7"/>
  <c r="J74" i="7"/>
  <c r="I74" i="7"/>
  <c r="H74" i="7"/>
  <c r="V73" i="7"/>
  <c r="N73" i="7"/>
  <c r="J73" i="7"/>
  <c r="I73" i="7"/>
  <c r="H73" i="7"/>
  <c r="V72" i="7"/>
  <c r="X72" i="7" s="1"/>
  <c r="N72" i="7"/>
  <c r="J72" i="7"/>
  <c r="I72" i="7"/>
  <c r="H72" i="7"/>
  <c r="V71" i="7"/>
  <c r="X71" i="7" s="1"/>
  <c r="N71" i="7"/>
  <c r="J71" i="7"/>
  <c r="I71" i="7"/>
  <c r="H71" i="7"/>
  <c r="V70" i="7"/>
  <c r="N70" i="7"/>
  <c r="J70" i="7"/>
  <c r="I70" i="7"/>
  <c r="H70" i="7"/>
  <c r="V69" i="7"/>
  <c r="N69" i="7"/>
  <c r="J69" i="7"/>
  <c r="I69" i="7"/>
  <c r="H69" i="7"/>
  <c r="V68" i="7"/>
  <c r="X68" i="7" s="1"/>
  <c r="N68" i="7"/>
  <c r="J68" i="7"/>
  <c r="I68" i="7"/>
  <c r="H68" i="7"/>
  <c r="V67" i="7"/>
  <c r="X67" i="7" s="1"/>
  <c r="N67" i="7"/>
  <c r="J67" i="7"/>
  <c r="I67" i="7"/>
  <c r="H67" i="7"/>
  <c r="V66" i="7"/>
  <c r="N66" i="7"/>
  <c r="J66" i="7"/>
  <c r="I66" i="7"/>
  <c r="H66" i="7"/>
  <c r="V65" i="7"/>
  <c r="N65" i="7"/>
  <c r="J65" i="7"/>
  <c r="I65" i="7"/>
  <c r="H65" i="7"/>
  <c r="V64" i="7"/>
  <c r="X64" i="7" s="1"/>
  <c r="N64" i="7"/>
  <c r="J64" i="7"/>
  <c r="I64" i="7"/>
  <c r="H64" i="7"/>
  <c r="V63" i="7"/>
  <c r="X63" i="7" s="1"/>
  <c r="N63" i="7"/>
  <c r="J63" i="7"/>
  <c r="I63" i="7"/>
  <c r="H63" i="7"/>
  <c r="V62" i="7"/>
  <c r="X62" i="7" s="1"/>
  <c r="N62" i="7"/>
  <c r="J62" i="7"/>
  <c r="I62" i="7"/>
  <c r="H62" i="7"/>
  <c r="V61" i="7"/>
  <c r="X61" i="7" s="1"/>
  <c r="N61" i="7"/>
  <c r="J61" i="7"/>
  <c r="I61" i="7"/>
  <c r="H61" i="7"/>
  <c r="V60" i="7"/>
  <c r="X60" i="7" s="1"/>
  <c r="N60" i="7"/>
  <c r="J60" i="7"/>
  <c r="I60" i="7"/>
  <c r="H60" i="7"/>
  <c r="V59" i="7"/>
  <c r="X59" i="7" s="1"/>
  <c r="N59" i="7"/>
  <c r="J59" i="7"/>
  <c r="I59" i="7"/>
  <c r="H59" i="7"/>
  <c r="V58" i="7"/>
  <c r="X58" i="7" s="1"/>
  <c r="N58" i="7"/>
  <c r="J58" i="7"/>
  <c r="I58" i="7"/>
  <c r="H58" i="7"/>
  <c r="V57" i="7"/>
  <c r="X57" i="7" s="1"/>
  <c r="N57" i="7"/>
  <c r="J57" i="7"/>
  <c r="I57" i="7"/>
  <c r="H57" i="7"/>
  <c r="V56" i="7"/>
  <c r="X56" i="7" s="1"/>
  <c r="N56" i="7"/>
  <c r="J56" i="7"/>
  <c r="I56" i="7"/>
  <c r="H56" i="7"/>
  <c r="V55" i="7"/>
  <c r="X55" i="7" s="1"/>
  <c r="N55" i="7"/>
  <c r="J55" i="7"/>
  <c r="I55" i="7"/>
  <c r="H55" i="7"/>
  <c r="V54" i="7"/>
  <c r="X54" i="7" s="1"/>
  <c r="N54" i="7"/>
  <c r="J54" i="7"/>
  <c r="I54" i="7"/>
  <c r="H54" i="7"/>
  <c r="V53" i="7"/>
  <c r="X53" i="7" s="1"/>
  <c r="N53" i="7"/>
  <c r="J53" i="7"/>
  <c r="I53" i="7"/>
  <c r="H53" i="7"/>
  <c r="V52" i="7"/>
  <c r="X52" i="7" s="1"/>
  <c r="N52" i="7"/>
  <c r="J52" i="7"/>
  <c r="I52" i="7"/>
  <c r="H52" i="7"/>
  <c r="V51" i="7"/>
  <c r="W51" i="7" s="1"/>
  <c r="N51" i="7"/>
  <c r="J51" i="7"/>
  <c r="I51" i="7"/>
  <c r="H51" i="7"/>
  <c r="V50" i="7"/>
  <c r="W50" i="7" s="1"/>
  <c r="N50" i="7"/>
  <c r="J50" i="7"/>
  <c r="I50" i="7"/>
  <c r="H50" i="7"/>
  <c r="V49" i="7"/>
  <c r="W49" i="7" s="1"/>
  <c r="N49" i="7"/>
  <c r="J49" i="7"/>
  <c r="I49" i="7"/>
  <c r="H49" i="7"/>
  <c r="V48" i="7"/>
  <c r="X48" i="7" s="1"/>
  <c r="N48" i="7"/>
  <c r="J48" i="7"/>
  <c r="I48" i="7"/>
  <c r="H48" i="7"/>
  <c r="V47" i="7"/>
  <c r="W47" i="7" s="1"/>
  <c r="N47" i="7"/>
  <c r="J47" i="7"/>
  <c r="I47" i="7"/>
  <c r="H47" i="7"/>
  <c r="V46" i="7"/>
  <c r="W46" i="7" s="1"/>
  <c r="N46" i="7"/>
  <c r="J46" i="7"/>
  <c r="I46" i="7"/>
  <c r="H46" i="7"/>
  <c r="V45" i="7"/>
  <c r="X45" i="7" s="1"/>
  <c r="N45" i="7"/>
  <c r="J45" i="7"/>
  <c r="I45" i="7"/>
  <c r="H45" i="7"/>
  <c r="V44" i="7"/>
  <c r="W44" i="7" s="1"/>
  <c r="N44" i="7"/>
  <c r="J44" i="7"/>
  <c r="I44" i="7"/>
  <c r="H44" i="7"/>
  <c r="V43" i="7"/>
  <c r="W43" i="7" s="1"/>
  <c r="N43" i="7"/>
  <c r="J43" i="7"/>
  <c r="I43" i="7"/>
  <c r="H43" i="7"/>
  <c r="V42" i="7"/>
  <c r="X42" i="7" s="1"/>
  <c r="N42" i="7"/>
  <c r="J42" i="7"/>
  <c r="I42" i="7"/>
  <c r="H42" i="7"/>
  <c r="V41" i="7"/>
  <c r="W41" i="7" s="1"/>
  <c r="N41" i="7"/>
  <c r="J41" i="7"/>
  <c r="I41" i="7"/>
  <c r="H41" i="7"/>
  <c r="V40" i="7"/>
  <c r="X40" i="7" s="1"/>
  <c r="N40" i="7"/>
  <c r="J40" i="7"/>
  <c r="I40" i="7"/>
  <c r="H40" i="7"/>
  <c r="V39" i="7"/>
  <c r="W39" i="7" s="1"/>
  <c r="N39" i="7"/>
  <c r="J39" i="7"/>
  <c r="I39" i="7"/>
  <c r="H39" i="7"/>
  <c r="V38" i="7"/>
  <c r="W38" i="7" s="1"/>
  <c r="N38" i="7"/>
  <c r="J38" i="7"/>
  <c r="I38" i="7"/>
  <c r="H38" i="7"/>
  <c r="V37" i="7"/>
  <c r="X37" i="7" s="1"/>
  <c r="N37" i="7"/>
  <c r="J37" i="7"/>
  <c r="I37" i="7"/>
  <c r="H37" i="7"/>
  <c r="V36" i="7"/>
  <c r="W36" i="7" s="1"/>
  <c r="N36" i="7"/>
  <c r="J36" i="7"/>
  <c r="I36" i="7"/>
  <c r="H36" i="7"/>
  <c r="V35" i="7"/>
  <c r="W35" i="7" s="1"/>
  <c r="N35" i="7"/>
  <c r="J35" i="7"/>
  <c r="I35" i="7"/>
  <c r="H35" i="7"/>
  <c r="V34" i="7"/>
  <c r="X34" i="7" s="1"/>
  <c r="N34" i="7"/>
  <c r="J34" i="7"/>
  <c r="I34" i="7"/>
  <c r="H34" i="7"/>
  <c r="V33" i="7"/>
  <c r="W33" i="7" s="1"/>
  <c r="N33" i="7"/>
  <c r="J33" i="7"/>
  <c r="I33" i="7"/>
  <c r="H33" i="7"/>
  <c r="V32" i="7"/>
  <c r="W32" i="7" s="1"/>
  <c r="N32" i="7"/>
  <c r="J32" i="7"/>
  <c r="I32" i="7"/>
  <c r="H32" i="7"/>
  <c r="V31" i="7"/>
  <c r="X31" i="7" s="1"/>
  <c r="N31" i="7"/>
  <c r="J31" i="7"/>
  <c r="I31" i="7"/>
  <c r="H31" i="7"/>
  <c r="V30" i="7"/>
  <c r="X30" i="7" s="1"/>
  <c r="N30" i="7"/>
  <c r="J30" i="7"/>
  <c r="I30" i="7"/>
  <c r="H30" i="7"/>
  <c r="V29" i="7"/>
  <c r="X29" i="7" s="1"/>
  <c r="N29" i="7"/>
  <c r="J29" i="7"/>
  <c r="I29" i="7"/>
  <c r="H29" i="7"/>
  <c r="V28" i="7"/>
  <c r="X28" i="7" s="1"/>
  <c r="N28" i="7"/>
  <c r="J28" i="7"/>
  <c r="I28" i="7"/>
  <c r="H28" i="7"/>
  <c r="V27" i="7"/>
  <c r="X27" i="7" s="1"/>
  <c r="N27" i="7"/>
  <c r="J27" i="7"/>
  <c r="I27" i="7"/>
  <c r="H27" i="7"/>
  <c r="V26" i="7"/>
  <c r="X26" i="7" s="1"/>
  <c r="N26" i="7"/>
  <c r="J26" i="7"/>
  <c r="I26" i="7"/>
  <c r="H26" i="7"/>
  <c r="V25" i="7"/>
  <c r="X25" i="7" s="1"/>
  <c r="N25" i="7"/>
  <c r="J25" i="7"/>
  <c r="I25" i="7"/>
  <c r="H25" i="7"/>
  <c r="V24" i="7"/>
  <c r="X24" i="7" s="1"/>
  <c r="N24" i="7"/>
  <c r="J24" i="7"/>
  <c r="I24" i="7"/>
  <c r="H24" i="7"/>
  <c r="V23" i="7"/>
  <c r="X23" i="7" s="1"/>
  <c r="N23" i="7"/>
  <c r="J23" i="7"/>
  <c r="I23" i="7"/>
  <c r="H23" i="7"/>
  <c r="V22" i="7"/>
  <c r="X22" i="7" s="1"/>
  <c r="N22" i="7"/>
  <c r="J22" i="7"/>
  <c r="I22" i="7"/>
  <c r="H22" i="7"/>
  <c r="V21" i="7"/>
  <c r="X21" i="7" s="1"/>
  <c r="N21" i="7"/>
  <c r="J21" i="7"/>
  <c r="I21" i="7"/>
  <c r="H21" i="7"/>
  <c r="V20" i="7"/>
  <c r="X20" i="7" s="1"/>
  <c r="N20" i="7"/>
  <c r="J20" i="7"/>
  <c r="I20" i="7"/>
  <c r="H20" i="7"/>
  <c r="V19" i="7"/>
  <c r="X19" i="7" s="1"/>
  <c r="N19" i="7"/>
  <c r="J19" i="7"/>
  <c r="I19" i="7"/>
  <c r="H19" i="7"/>
  <c r="V18" i="7"/>
  <c r="X18" i="7" s="1"/>
  <c r="N18" i="7"/>
  <c r="J18" i="7"/>
  <c r="I18" i="7"/>
  <c r="H18" i="7"/>
  <c r="V17" i="7"/>
  <c r="X17" i="7" s="1"/>
  <c r="N17" i="7"/>
  <c r="J17" i="7"/>
  <c r="I17" i="7"/>
  <c r="H17" i="7"/>
  <c r="V16" i="7"/>
  <c r="X16" i="7" s="1"/>
  <c r="N16" i="7"/>
  <c r="J16" i="7"/>
  <c r="I16" i="7"/>
  <c r="H16" i="7"/>
  <c r="V15" i="7"/>
  <c r="X15" i="7" s="1"/>
  <c r="N15" i="7"/>
  <c r="J15" i="7"/>
  <c r="I15" i="7"/>
  <c r="H15" i="7"/>
  <c r="V14" i="7"/>
  <c r="X14" i="7" s="1"/>
  <c r="N14" i="7"/>
  <c r="J14" i="7"/>
  <c r="I14" i="7"/>
  <c r="H14" i="7"/>
  <c r="V13" i="7"/>
  <c r="X13" i="7" s="1"/>
  <c r="N13" i="7"/>
  <c r="J13" i="7"/>
  <c r="I13" i="7"/>
  <c r="H13" i="7"/>
  <c r="V12" i="7"/>
  <c r="X12" i="7" s="1"/>
  <c r="N12" i="7"/>
  <c r="J12" i="7"/>
  <c r="I12" i="7"/>
  <c r="H12" i="7"/>
  <c r="V11" i="7"/>
  <c r="X11" i="7" s="1"/>
  <c r="N11" i="7"/>
  <c r="J11" i="7"/>
  <c r="I11" i="7"/>
  <c r="H11" i="7"/>
  <c r="V10" i="7"/>
  <c r="X10" i="7" s="1"/>
  <c r="N10" i="7"/>
  <c r="J10" i="7"/>
  <c r="I10" i="7"/>
  <c r="H10" i="7"/>
  <c r="V9" i="7"/>
  <c r="X9" i="7" s="1"/>
  <c r="N9" i="7"/>
  <c r="J9" i="7"/>
  <c r="I9" i="7"/>
  <c r="H9" i="7"/>
  <c r="V8" i="7"/>
  <c r="X8" i="7" s="1"/>
  <c r="N8" i="7"/>
  <c r="J8" i="7"/>
  <c r="I8" i="7"/>
  <c r="H8" i="7"/>
  <c r="V7" i="7"/>
  <c r="X7" i="7" s="1"/>
  <c r="N7" i="7"/>
  <c r="J7" i="7"/>
  <c r="I7" i="7"/>
  <c r="H7" i="7"/>
  <c r="V6" i="7"/>
  <c r="X6" i="7" s="1"/>
  <c r="N6" i="7"/>
  <c r="J6" i="7"/>
  <c r="I6" i="7"/>
  <c r="H6" i="7"/>
  <c r="V5" i="7"/>
  <c r="X5" i="7" s="1"/>
  <c r="N5" i="7"/>
  <c r="J5" i="7"/>
  <c r="I5" i="7"/>
  <c r="H5" i="7"/>
  <c r="V4" i="7"/>
  <c r="X4" i="7" s="1"/>
  <c r="N4" i="7"/>
  <c r="J4" i="7"/>
  <c r="I4" i="7"/>
  <c r="H4" i="7"/>
  <c r="V3" i="7"/>
  <c r="X3" i="7" s="1"/>
  <c r="N3" i="7"/>
  <c r="J3" i="7"/>
  <c r="I3" i="7"/>
  <c r="H3" i="7"/>
  <c r="N2" i="7"/>
  <c r="J2" i="7"/>
  <c r="I2" i="7"/>
  <c r="H2" i="7"/>
  <c r="K74" i="7" l="1"/>
  <c r="L74" i="7" s="1"/>
  <c r="M74" i="7" s="1"/>
  <c r="F79" i="6" s="1"/>
  <c r="H79" i="6" s="1"/>
  <c r="K78" i="7"/>
  <c r="L78" i="7" s="1"/>
  <c r="M78" i="7" s="1"/>
  <c r="F83" i="6" s="1"/>
  <c r="J83" i="6" s="1"/>
  <c r="K86" i="7"/>
  <c r="L86" i="7" s="1"/>
  <c r="M86" i="7" s="1"/>
  <c r="F91" i="6" s="1"/>
  <c r="H91" i="6" s="1"/>
  <c r="K90" i="7"/>
  <c r="L90" i="7" s="1"/>
  <c r="M90" i="7" s="1"/>
  <c r="F95" i="6" s="1"/>
  <c r="H95" i="6" s="1"/>
  <c r="K94" i="7"/>
  <c r="L94" i="7" s="1"/>
  <c r="M94" i="7" s="1"/>
  <c r="F99" i="6" s="1"/>
  <c r="J99" i="6" s="1"/>
  <c r="K98" i="7"/>
  <c r="L98" i="7" s="1"/>
  <c r="M98" i="7" s="1"/>
  <c r="F103" i="6" s="1"/>
  <c r="H103" i="6" s="1"/>
  <c r="K102" i="7"/>
  <c r="L102" i="7" s="1"/>
  <c r="M102" i="7" s="1"/>
  <c r="F107" i="6" s="1"/>
  <c r="J107" i="6" s="1"/>
  <c r="K106" i="7"/>
  <c r="L106" i="7" s="1"/>
  <c r="M106" i="7" s="1"/>
  <c r="F111" i="6" s="1"/>
  <c r="H111" i="6" s="1"/>
  <c r="K116" i="7"/>
  <c r="L116" i="7" s="1"/>
  <c r="M116" i="7" s="1"/>
  <c r="F121" i="6" s="1"/>
  <c r="H121" i="6" s="1"/>
  <c r="K120" i="7"/>
  <c r="L120" i="7" s="1"/>
  <c r="M120" i="7" s="1"/>
  <c r="F125" i="6" s="1"/>
  <c r="H125" i="6" s="1"/>
  <c r="K128" i="7"/>
  <c r="L128" i="7" s="1"/>
  <c r="M128" i="7" s="1"/>
  <c r="F133" i="6" s="1"/>
  <c r="J133" i="6" s="1"/>
  <c r="K132" i="7"/>
  <c r="L132" i="7" s="1"/>
  <c r="M132" i="7" s="1"/>
  <c r="F137" i="6" s="1"/>
  <c r="J137" i="6" s="1"/>
  <c r="K136" i="7"/>
  <c r="L136" i="7" s="1"/>
  <c r="M136" i="7" s="1"/>
  <c r="F141" i="6" s="1"/>
  <c r="J141" i="6" s="1"/>
  <c r="K140" i="7"/>
  <c r="L140" i="7" s="1"/>
  <c r="M140" i="7" s="1"/>
  <c r="F145" i="6" s="1"/>
  <c r="J145" i="6" s="1"/>
  <c r="K144" i="7"/>
  <c r="L144" i="7" s="1"/>
  <c r="M144" i="7" s="1"/>
  <c r="F149" i="6" s="1"/>
  <c r="J149" i="6" s="1"/>
  <c r="K148" i="7"/>
  <c r="L148" i="7" s="1"/>
  <c r="M148" i="7" s="1"/>
  <c r="F153" i="6" s="1"/>
  <c r="J153" i="6" s="1"/>
  <c r="K152" i="7"/>
  <c r="L152" i="7" s="1"/>
  <c r="M152" i="7" s="1"/>
  <c r="F157" i="6" s="1"/>
  <c r="J157" i="6" s="1"/>
  <c r="K154" i="7"/>
  <c r="L154" i="7" s="1"/>
  <c r="M154" i="7" s="1"/>
  <c r="F159" i="6" s="1"/>
  <c r="J159" i="6" s="1"/>
  <c r="K156" i="7"/>
  <c r="L156" i="7" s="1"/>
  <c r="M156" i="7" s="1"/>
  <c r="F161" i="6" s="1"/>
  <c r="J161" i="6" s="1"/>
  <c r="K158" i="7"/>
  <c r="L158" i="7" s="1"/>
  <c r="M158" i="7" s="1"/>
  <c r="F163" i="6" s="1"/>
  <c r="J163" i="6" s="1"/>
  <c r="K161" i="7"/>
  <c r="L161" i="7" s="1"/>
  <c r="M161" i="7" s="1"/>
  <c r="F166" i="6" s="1"/>
  <c r="H166" i="6" s="1"/>
  <c r="K163" i="7"/>
  <c r="L163" i="7" s="1"/>
  <c r="M163" i="7" s="1"/>
  <c r="F168" i="6" s="1"/>
  <c r="J168" i="6" s="1"/>
  <c r="K165" i="7"/>
  <c r="L165" i="7" s="1"/>
  <c r="M165" i="7" s="1"/>
  <c r="F170" i="6" s="1"/>
  <c r="H170" i="6" s="1"/>
  <c r="K167" i="7"/>
  <c r="L167" i="7" s="1"/>
  <c r="M167" i="7" s="1"/>
  <c r="F172" i="6" s="1"/>
  <c r="J172" i="6" s="1"/>
  <c r="K169" i="7"/>
  <c r="L169" i="7" s="1"/>
  <c r="M169" i="7" s="1"/>
  <c r="F174" i="6" s="1"/>
  <c r="J174" i="6" s="1"/>
  <c r="K171" i="7"/>
  <c r="L171" i="7" s="1"/>
  <c r="M171" i="7" s="1"/>
  <c r="F176" i="6" s="1"/>
  <c r="J176" i="6" s="1"/>
  <c r="K173" i="7"/>
  <c r="L173" i="7" s="1"/>
  <c r="M173" i="7" s="1"/>
  <c r="F178" i="6" s="1"/>
  <c r="J178" i="6" s="1"/>
  <c r="K175" i="7"/>
  <c r="L175" i="7" s="1"/>
  <c r="M175" i="7" s="1"/>
  <c r="F180" i="6" s="1"/>
  <c r="J180" i="6" s="1"/>
  <c r="K177" i="7"/>
  <c r="L177" i="7" s="1"/>
  <c r="M177" i="7" s="1"/>
  <c r="F182" i="6" s="1"/>
  <c r="H182" i="6" s="1"/>
  <c r="K179" i="7"/>
  <c r="L179" i="7" s="1"/>
  <c r="M179" i="7" s="1"/>
  <c r="F184" i="6" s="1"/>
  <c r="J184" i="6" s="1"/>
  <c r="K181" i="7"/>
  <c r="L181" i="7" s="1"/>
  <c r="M181" i="7" s="1"/>
  <c r="F186" i="6" s="1"/>
  <c r="H186" i="6" s="1"/>
  <c r="K183" i="7"/>
  <c r="L183" i="7" s="1"/>
  <c r="M183" i="7" s="1"/>
  <c r="F188" i="6" s="1"/>
  <c r="J188" i="6" s="1"/>
  <c r="K185" i="7"/>
  <c r="L185" i="7" s="1"/>
  <c r="M185" i="7" s="1"/>
  <c r="F190" i="6" s="1"/>
  <c r="J190" i="6" s="1"/>
  <c r="K187" i="7"/>
  <c r="L187" i="7" s="1"/>
  <c r="M187" i="7" s="1"/>
  <c r="F192" i="6" s="1"/>
  <c r="J192" i="6" s="1"/>
  <c r="K189" i="7"/>
  <c r="L189" i="7" s="1"/>
  <c r="M189" i="7" s="1"/>
  <c r="F194" i="6" s="1"/>
  <c r="J194" i="6" s="1"/>
  <c r="K191" i="7"/>
  <c r="L191" i="7" s="1"/>
  <c r="M191" i="7" s="1"/>
  <c r="F196" i="6" s="1"/>
  <c r="J196" i="6" s="1"/>
  <c r="K193" i="7"/>
  <c r="L193" i="7" s="1"/>
  <c r="M193" i="7" s="1"/>
  <c r="F198" i="6" s="1"/>
  <c r="H198" i="6" s="1"/>
  <c r="K195" i="7"/>
  <c r="L195" i="7" s="1"/>
  <c r="M195" i="7" s="1"/>
  <c r="F200" i="6" s="1"/>
  <c r="J200" i="6" s="1"/>
  <c r="K197" i="7"/>
  <c r="L197" i="7" s="1"/>
  <c r="M197" i="7" s="1"/>
  <c r="F202" i="6" s="1"/>
  <c r="H202" i="6" s="1"/>
  <c r="K199" i="7"/>
  <c r="L199" i="7" s="1"/>
  <c r="M199" i="7" s="1"/>
  <c r="F204" i="6" s="1"/>
  <c r="J204" i="6" s="1"/>
  <c r="K201" i="7"/>
  <c r="L201" i="7" s="1"/>
  <c r="M201" i="7" s="1"/>
  <c r="F206" i="6" s="1"/>
  <c r="J206" i="6" s="1"/>
  <c r="K203" i="7"/>
  <c r="L203" i="7" s="1"/>
  <c r="M203" i="7" s="1"/>
  <c r="F208" i="6" s="1"/>
  <c r="J208" i="6" s="1"/>
  <c r="K205" i="7"/>
  <c r="L205" i="7" s="1"/>
  <c r="M205" i="7" s="1"/>
  <c r="F210" i="6" s="1"/>
  <c r="J210" i="6" s="1"/>
  <c r="K207" i="7"/>
  <c r="L207" i="7" s="1"/>
  <c r="M207" i="7" s="1"/>
  <c r="F212" i="6" s="1"/>
  <c r="J212" i="6" s="1"/>
  <c r="K209" i="7"/>
  <c r="L209" i="7" s="1"/>
  <c r="M209" i="7" s="1"/>
  <c r="F214" i="6" s="1"/>
  <c r="H214" i="6" s="1"/>
  <c r="K211" i="7"/>
  <c r="L211" i="7" s="1"/>
  <c r="M211" i="7" s="1"/>
  <c r="F216" i="6" s="1"/>
  <c r="J216" i="6" s="1"/>
  <c r="K213" i="7"/>
  <c r="L213" i="7" s="1"/>
  <c r="M213" i="7" s="1"/>
  <c r="F218" i="6" s="1"/>
  <c r="H218" i="6" s="1"/>
  <c r="K215" i="7"/>
  <c r="L215" i="7" s="1"/>
  <c r="M215" i="7" s="1"/>
  <c r="F220" i="6" s="1"/>
  <c r="J220" i="6" s="1"/>
  <c r="K217" i="7"/>
  <c r="L217" i="7" s="1"/>
  <c r="M217" i="7" s="1"/>
  <c r="F222" i="6" s="1"/>
  <c r="J222" i="6" s="1"/>
  <c r="K219" i="7"/>
  <c r="L219" i="7" s="1"/>
  <c r="M219" i="7" s="1"/>
  <c r="F224" i="6" s="1"/>
  <c r="J224" i="6" s="1"/>
  <c r="K221" i="7"/>
  <c r="L221" i="7" s="1"/>
  <c r="M221" i="7" s="1"/>
  <c r="F226" i="6" s="1"/>
  <c r="J226" i="6" s="1"/>
  <c r="K223" i="7"/>
  <c r="L223" i="7" s="1"/>
  <c r="M223" i="7" s="1"/>
  <c r="F228" i="6" s="1"/>
  <c r="J228" i="6" s="1"/>
  <c r="K225" i="7"/>
  <c r="L225" i="7" s="1"/>
  <c r="M225" i="7" s="1"/>
  <c r="F230" i="6" s="1"/>
  <c r="H230" i="6" s="1"/>
  <c r="K227" i="7"/>
  <c r="L227" i="7" s="1"/>
  <c r="M227" i="7" s="1"/>
  <c r="F232" i="6" s="1"/>
  <c r="J232" i="6" s="1"/>
  <c r="K229" i="7"/>
  <c r="L229" i="7" s="1"/>
  <c r="M229" i="7" s="1"/>
  <c r="F234" i="6" s="1"/>
  <c r="H234" i="6" s="1"/>
  <c r="K231" i="7"/>
  <c r="L231" i="7" s="1"/>
  <c r="M231" i="7" s="1"/>
  <c r="F236" i="6" s="1"/>
  <c r="J236" i="6" s="1"/>
  <c r="K233" i="7"/>
  <c r="L233" i="7" s="1"/>
  <c r="M233" i="7" s="1"/>
  <c r="F238" i="6" s="1"/>
  <c r="J238" i="6" s="1"/>
  <c r="K235" i="7"/>
  <c r="L235" i="7" s="1"/>
  <c r="M235" i="7" s="1"/>
  <c r="F240" i="6" s="1"/>
  <c r="J240" i="6" s="1"/>
  <c r="K237" i="7"/>
  <c r="L237" i="7" s="1"/>
  <c r="M237" i="7" s="1"/>
  <c r="F242" i="6" s="1"/>
  <c r="J242" i="6" s="1"/>
  <c r="K239" i="7"/>
  <c r="L239" i="7" s="1"/>
  <c r="M239" i="7" s="1"/>
  <c r="F244" i="6" s="1"/>
  <c r="J244" i="6" s="1"/>
  <c r="K241" i="7"/>
  <c r="L241" i="7" s="1"/>
  <c r="M241" i="7" s="1"/>
  <c r="F246" i="6" s="1"/>
  <c r="H246" i="6" s="1"/>
  <c r="K243" i="7"/>
  <c r="L243" i="7" s="1"/>
  <c r="M243" i="7" s="1"/>
  <c r="F248" i="6" s="1"/>
  <c r="J248" i="6" s="1"/>
  <c r="K245" i="7"/>
  <c r="L245" i="7" s="1"/>
  <c r="M245" i="7" s="1"/>
  <c r="F250" i="6" s="1"/>
  <c r="H250" i="6" s="1"/>
  <c r="K247" i="7"/>
  <c r="L247" i="7" s="1"/>
  <c r="M247" i="7" s="1"/>
  <c r="F252" i="6" s="1"/>
  <c r="J252" i="6" s="1"/>
  <c r="K249" i="7"/>
  <c r="L249" i="7" s="1"/>
  <c r="M249" i="7" s="1"/>
  <c r="F254" i="6" s="1"/>
  <c r="J254" i="6" s="1"/>
  <c r="K251" i="7"/>
  <c r="L251" i="7" s="1"/>
  <c r="M251" i="7" s="1"/>
  <c r="F256" i="6" s="1"/>
  <c r="J256" i="6" s="1"/>
  <c r="K253" i="7"/>
  <c r="L253" i="7" s="1"/>
  <c r="M253" i="7" s="1"/>
  <c r="F258" i="6" s="1"/>
  <c r="J258" i="6" s="1"/>
  <c r="K255" i="7"/>
  <c r="L255" i="7" s="1"/>
  <c r="M255" i="7" s="1"/>
  <c r="F260" i="6" s="1"/>
  <c r="J260" i="6" s="1"/>
  <c r="K257" i="7"/>
  <c r="L257" i="7" s="1"/>
  <c r="M257" i="7" s="1"/>
  <c r="F262" i="6" s="1"/>
  <c r="H262" i="6" s="1"/>
  <c r="K70" i="7"/>
  <c r="L70" i="7" s="1"/>
  <c r="M70" i="7" s="1"/>
  <c r="F75" i="6" s="1"/>
  <c r="J75" i="6" s="1"/>
  <c r="K82" i="7"/>
  <c r="L82" i="7" s="1"/>
  <c r="M82" i="7" s="1"/>
  <c r="F87" i="6" s="1"/>
  <c r="J87" i="6" s="1"/>
  <c r="K124" i="7"/>
  <c r="L124" i="7" s="1"/>
  <c r="M124" i="7" s="1"/>
  <c r="F129" i="6" s="1"/>
  <c r="J129" i="6" s="1"/>
  <c r="K150" i="7"/>
  <c r="L150" i="7" s="1"/>
  <c r="M150" i="7" s="1"/>
  <c r="F155" i="6" s="1"/>
  <c r="H155" i="6" s="1"/>
  <c r="K19" i="7"/>
  <c r="L19" i="7" s="1"/>
  <c r="M19" i="7" s="1"/>
  <c r="F24" i="6" s="1"/>
  <c r="J24" i="6" s="1"/>
  <c r="K23" i="7"/>
  <c r="L23" i="7" s="1"/>
  <c r="M23" i="7" s="1"/>
  <c r="F28" i="6" s="1"/>
  <c r="H28" i="6" s="1"/>
  <c r="K25" i="7"/>
  <c r="L25" i="7" s="1"/>
  <c r="M25" i="7" s="1"/>
  <c r="F30" i="6" s="1"/>
  <c r="H30" i="6" s="1"/>
  <c r="K32" i="7"/>
  <c r="L32" i="7" s="1"/>
  <c r="M32" i="7" s="1"/>
  <c r="F37" i="6" s="1"/>
  <c r="H37" i="6" s="1"/>
  <c r="K34" i="7"/>
  <c r="L34" i="7" s="1"/>
  <c r="M34" i="7" s="1"/>
  <c r="F39" i="6" s="1"/>
  <c r="J39" i="6" s="1"/>
  <c r="K36" i="7"/>
  <c r="L36" i="7" s="1"/>
  <c r="M36" i="7" s="1"/>
  <c r="F41" i="6" s="1"/>
  <c r="H41" i="6" s="1"/>
  <c r="K38" i="7"/>
  <c r="L38" i="7" s="1"/>
  <c r="M38" i="7" s="1"/>
  <c r="F43" i="6" s="1"/>
  <c r="H43" i="6" s="1"/>
  <c r="K40" i="7"/>
  <c r="L40" i="7" s="1"/>
  <c r="M40" i="7" s="1"/>
  <c r="F45" i="6" s="1"/>
  <c r="J45" i="6" s="1"/>
  <c r="K42" i="7"/>
  <c r="L42" i="7" s="1"/>
  <c r="M42" i="7" s="1"/>
  <c r="F47" i="6" s="1"/>
  <c r="H47" i="6" s="1"/>
  <c r="K44" i="7"/>
  <c r="L44" i="7" s="1"/>
  <c r="M44" i="7" s="1"/>
  <c r="F49" i="6" s="1"/>
  <c r="J49" i="6" s="1"/>
  <c r="K46" i="7"/>
  <c r="L46" i="7" s="1"/>
  <c r="M46" i="7" s="1"/>
  <c r="F51" i="6" s="1"/>
  <c r="H51" i="6" s="1"/>
  <c r="K48" i="7"/>
  <c r="L48" i="7" s="1"/>
  <c r="M48" i="7" s="1"/>
  <c r="F53" i="6" s="1"/>
  <c r="J53" i="6" s="1"/>
  <c r="K50" i="7"/>
  <c r="L50" i="7" s="1"/>
  <c r="M50" i="7" s="1"/>
  <c r="F55" i="6" s="1"/>
  <c r="H55" i="6" s="1"/>
  <c r="K52" i="7"/>
  <c r="L52" i="7" s="1"/>
  <c r="M52" i="7" s="1"/>
  <c r="F57" i="6" s="1"/>
  <c r="H57" i="6" s="1"/>
  <c r="K54" i="7"/>
  <c r="L54" i="7" s="1"/>
  <c r="M54" i="7" s="1"/>
  <c r="F59" i="6" s="1"/>
  <c r="H59" i="6" s="1"/>
  <c r="K56" i="7"/>
  <c r="L56" i="7" s="1"/>
  <c r="M56" i="7" s="1"/>
  <c r="F61" i="6" s="1"/>
  <c r="H61" i="6" s="1"/>
  <c r="K58" i="7"/>
  <c r="L58" i="7" s="1"/>
  <c r="M58" i="7" s="1"/>
  <c r="F63" i="6" s="1"/>
  <c r="H63" i="6" s="1"/>
  <c r="K60" i="7"/>
  <c r="L60" i="7" s="1"/>
  <c r="M60" i="7" s="1"/>
  <c r="F65" i="6" s="1"/>
  <c r="H65" i="6" s="1"/>
  <c r="K62" i="7"/>
  <c r="L62" i="7" s="1"/>
  <c r="M62" i="7" s="1"/>
  <c r="F67" i="6" s="1"/>
  <c r="H67" i="6" s="1"/>
  <c r="K65" i="7"/>
  <c r="L65" i="7" s="1"/>
  <c r="M65" i="7" s="1"/>
  <c r="F70" i="6" s="1"/>
  <c r="J70" i="6" s="1"/>
  <c r="K69" i="7"/>
  <c r="L69" i="7" s="1"/>
  <c r="M69" i="7" s="1"/>
  <c r="F74" i="6" s="1"/>
  <c r="H74" i="6" s="1"/>
  <c r="K77" i="7"/>
  <c r="L77" i="7" s="1"/>
  <c r="M77" i="7" s="1"/>
  <c r="F82" i="6" s="1"/>
  <c r="J82" i="6" s="1"/>
  <c r="K81" i="7"/>
  <c r="L81" i="7" s="1"/>
  <c r="M81" i="7" s="1"/>
  <c r="F86" i="6" s="1"/>
  <c r="J86" i="6" s="1"/>
  <c r="K85" i="7"/>
  <c r="L85" i="7" s="1"/>
  <c r="M85" i="7" s="1"/>
  <c r="F90" i="6" s="1"/>
  <c r="J90" i="6" s="1"/>
  <c r="K89" i="7"/>
  <c r="L89" i="7" s="1"/>
  <c r="M89" i="7" s="1"/>
  <c r="F94" i="6" s="1"/>
  <c r="J94" i="6" s="1"/>
  <c r="K93" i="7"/>
  <c r="L93" i="7" s="1"/>
  <c r="M93" i="7" s="1"/>
  <c r="F98" i="6" s="1"/>
  <c r="H98" i="6" s="1"/>
  <c r="K97" i="7"/>
  <c r="L97" i="7" s="1"/>
  <c r="M97" i="7" s="1"/>
  <c r="F102" i="6" s="1"/>
  <c r="J102" i="6" s="1"/>
  <c r="K101" i="7"/>
  <c r="L101" i="7" s="1"/>
  <c r="M101" i="7" s="1"/>
  <c r="F106" i="6" s="1"/>
  <c r="H106" i="6" s="1"/>
  <c r="K105" i="7"/>
  <c r="L105" i="7" s="1"/>
  <c r="M105" i="7" s="1"/>
  <c r="F110" i="6" s="1"/>
  <c r="J110" i="6" s="1"/>
  <c r="K109" i="7"/>
  <c r="L109" i="7" s="1"/>
  <c r="M109" i="7" s="1"/>
  <c r="F114" i="6" s="1"/>
  <c r="J114" i="6" s="1"/>
  <c r="K111" i="7"/>
  <c r="L111" i="7" s="1"/>
  <c r="M111" i="7" s="1"/>
  <c r="F116" i="6" s="1"/>
  <c r="H116" i="6" s="1"/>
  <c r="K113" i="7"/>
  <c r="L113" i="7" s="1"/>
  <c r="M113" i="7" s="1"/>
  <c r="F118" i="6" s="1"/>
  <c r="J118" i="6" s="1"/>
  <c r="K115" i="7"/>
  <c r="L115" i="7" s="1"/>
  <c r="M115" i="7" s="1"/>
  <c r="F120" i="6" s="1"/>
  <c r="H120" i="6" s="1"/>
  <c r="K119" i="7"/>
  <c r="L119" i="7" s="1"/>
  <c r="M119" i="7" s="1"/>
  <c r="F124" i="6" s="1"/>
  <c r="H124" i="6" s="1"/>
  <c r="K123" i="7"/>
  <c r="L123" i="7" s="1"/>
  <c r="M123" i="7" s="1"/>
  <c r="F128" i="6" s="1"/>
  <c r="H128" i="6" s="1"/>
  <c r="K127" i="7"/>
  <c r="L127" i="7" s="1"/>
  <c r="M127" i="7" s="1"/>
  <c r="F132" i="6" s="1"/>
  <c r="H132" i="6" s="1"/>
  <c r="K131" i="7"/>
  <c r="L131" i="7" s="1"/>
  <c r="M131" i="7" s="1"/>
  <c r="F136" i="6" s="1"/>
  <c r="H136" i="6" s="1"/>
  <c r="K135" i="7"/>
  <c r="L135" i="7" s="1"/>
  <c r="M135" i="7" s="1"/>
  <c r="F140" i="6" s="1"/>
  <c r="J140" i="6" s="1"/>
  <c r="K139" i="7"/>
  <c r="L139" i="7" s="1"/>
  <c r="M139" i="7" s="1"/>
  <c r="F144" i="6" s="1"/>
  <c r="H144" i="6" s="1"/>
  <c r="K143" i="7"/>
  <c r="L143" i="7" s="1"/>
  <c r="M143" i="7" s="1"/>
  <c r="F148" i="6" s="1"/>
  <c r="J148" i="6" s="1"/>
  <c r="K147" i="7"/>
  <c r="L147" i="7" s="1"/>
  <c r="M147" i="7" s="1"/>
  <c r="F152" i="6" s="1"/>
  <c r="H152" i="6" s="1"/>
  <c r="K261" i="6"/>
  <c r="I261" i="6"/>
  <c r="K259" i="6"/>
  <c r="I259" i="6"/>
  <c r="K257" i="6"/>
  <c r="I257" i="6"/>
  <c r="K255" i="6"/>
  <c r="I255" i="6"/>
  <c r="K253" i="6"/>
  <c r="I253" i="6"/>
  <c r="K251" i="6"/>
  <c r="I251" i="6"/>
  <c r="K249" i="6"/>
  <c r="I249" i="6"/>
  <c r="K247" i="6"/>
  <c r="I247" i="6"/>
  <c r="K245" i="6"/>
  <c r="I245" i="6"/>
  <c r="K243" i="6"/>
  <c r="I243" i="6"/>
  <c r="K241" i="6"/>
  <c r="I241" i="6"/>
  <c r="K239" i="6"/>
  <c r="I239" i="6"/>
  <c r="K237" i="6"/>
  <c r="I237" i="6"/>
  <c r="K235" i="6"/>
  <c r="I235" i="6"/>
  <c r="K233" i="6"/>
  <c r="I233" i="6"/>
  <c r="K231" i="6"/>
  <c r="I231" i="6"/>
  <c r="K229" i="6"/>
  <c r="I229" i="6"/>
  <c r="K227" i="6"/>
  <c r="I227" i="6"/>
  <c r="K225" i="6"/>
  <c r="I225" i="6"/>
  <c r="K223" i="6"/>
  <c r="I223" i="6"/>
  <c r="K221" i="6"/>
  <c r="I221" i="6"/>
  <c r="K219" i="6"/>
  <c r="I219" i="6"/>
  <c r="K217" i="6"/>
  <c r="I217" i="6"/>
  <c r="K215" i="6"/>
  <c r="I215" i="6"/>
  <c r="K213" i="6"/>
  <c r="I213" i="6"/>
  <c r="K211" i="6"/>
  <c r="I211" i="6"/>
  <c r="K209" i="6"/>
  <c r="I209" i="6"/>
  <c r="K207" i="6"/>
  <c r="I207" i="6"/>
  <c r="K205" i="6"/>
  <c r="I205" i="6"/>
  <c r="K203" i="6"/>
  <c r="I203" i="6"/>
  <c r="K201" i="6"/>
  <c r="I201" i="6"/>
  <c r="K199" i="6"/>
  <c r="I199" i="6"/>
  <c r="K197" i="6"/>
  <c r="I197" i="6"/>
  <c r="K195" i="6"/>
  <c r="I195" i="6"/>
  <c r="I193" i="6"/>
  <c r="K193" i="6"/>
  <c r="I191" i="6"/>
  <c r="K191" i="6"/>
  <c r="I189" i="6"/>
  <c r="K189" i="6"/>
  <c r="K187" i="6"/>
  <c r="I187" i="6"/>
  <c r="K185" i="6"/>
  <c r="I185" i="6"/>
  <c r="K183" i="6"/>
  <c r="I183" i="6"/>
  <c r="K181" i="6"/>
  <c r="I181" i="6"/>
  <c r="K179" i="6"/>
  <c r="I179" i="6"/>
  <c r="K177" i="6"/>
  <c r="I177" i="6"/>
  <c r="K175" i="6"/>
  <c r="I175" i="6"/>
  <c r="K173" i="6"/>
  <c r="I173" i="6"/>
  <c r="K171" i="6"/>
  <c r="I171" i="6"/>
  <c r="K169" i="6"/>
  <c r="I169" i="6"/>
  <c r="K167" i="6"/>
  <c r="I167" i="6"/>
  <c r="K165" i="6"/>
  <c r="I165" i="6"/>
  <c r="K163" i="6"/>
  <c r="I163" i="6"/>
  <c r="K161" i="6"/>
  <c r="I161" i="6"/>
  <c r="K159" i="6"/>
  <c r="I159" i="6"/>
  <c r="K157" i="6"/>
  <c r="I157" i="6"/>
  <c r="K155" i="6"/>
  <c r="I155" i="6"/>
  <c r="K153" i="6"/>
  <c r="I153" i="6"/>
  <c r="K151" i="6"/>
  <c r="I151" i="6"/>
  <c r="K149" i="6"/>
  <c r="I149" i="6"/>
  <c r="K147" i="6"/>
  <c r="I147" i="6"/>
  <c r="K145" i="6"/>
  <c r="I145" i="6"/>
  <c r="K143" i="6"/>
  <c r="I143" i="6"/>
  <c r="K141" i="6"/>
  <c r="I141" i="6"/>
  <c r="K139" i="6"/>
  <c r="I139" i="6"/>
  <c r="K137" i="6"/>
  <c r="I137" i="6"/>
  <c r="K135" i="6"/>
  <c r="I135" i="6"/>
  <c r="K133" i="6"/>
  <c r="I133" i="6"/>
  <c r="K131" i="6"/>
  <c r="I131" i="6"/>
  <c r="K129" i="6"/>
  <c r="I129" i="6"/>
  <c r="K127" i="6"/>
  <c r="I127" i="6"/>
  <c r="K125" i="6"/>
  <c r="I125" i="6"/>
  <c r="K123" i="6"/>
  <c r="I123" i="6"/>
  <c r="K121" i="6"/>
  <c r="I121" i="6"/>
  <c r="K119" i="6"/>
  <c r="I119" i="6"/>
  <c r="K117" i="6"/>
  <c r="I117" i="6"/>
  <c r="K115" i="6"/>
  <c r="I115" i="6"/>
  <c r="K113" i="6"/>
  <c r="I113" i="6"/>
  <c r="K111" i="6"/>
  <c r="I111" i="6"/>
  <c r="K109" i="6"/>
  <c r="I109" i="6"/>
  <c r="K107" i="6"/>
  <c r="I107" i="6"/>
  <c r="K105" i="6"/>
  <c r="I105" i="6"/>
  <c r="K103" i="6"/>
  <c r="I103" i="6"/>
  <c r="K101" i="6"/>
  <c r="I101" i="6"/>
  <c r="K99" i="6"/>
  <c r="I99" i="6"/>
  <c r="K97" i="6"/>
  <c r="I97" i="6"/>
  <c r="K95" i="6"/>
  <c r="I95" i="6"/>
  <c r="K93" i="6"/>
  <c r="I93" i="6"/>
  <c r="K91" i="6"/>
  <c r="I91" i="6"/>
  <c r="K89" i="6"/>
  <c r="I89" i="6"/>
  <c r="K87" i="6"/>
  <c r="I87" i="6"/>
  <c r="K85" i="6"/>
  <c r="I85" i="6"/>
  <c r="K83" i="6"/>
  <c r="I83" i="6"/>
  <c r="K81" i="6"/>
  <c r="I81" i="6"/>
  <c r="K79" i="6"/>
  <c r="I79" i="6"/>
  <c r="K77" i="6"/>
  <c r="I77" i="6"/>
  <c r="K75" i="6"/>
  <c r="I75" i="6"/>
  <c r="K73" i="6"/>
  <c r="I73" i="6"/>
  <c r="K71" i="6"/>
  <c r="I71" i="6"/>
  <c r="K69" i="6"/>
  <c r="I69" i="6"/>
  <c r="K67" i="6"/>
  <c r="I67" i="6"/>
  <c r="K65" i="6"/>
  <c r="I65" i="6"/>
  <c r="K63" i="6"/>
  <c r="I63" i="6"/>
  <c r="K61" i="6"/>
  <c r="I61" i="6"/>
  <c r="K59" i="6"/>
  <c r="I59" i="6"/>
  <c r="K57" i="6"/>
  <c r="I57" i="6"/>
  <c r="K55" i="6"/>
  <c r="I55" i="6"/>
  <c r="K53" i="6"/>
  <c r="I53" i="6"/>
  <c r="K51" i="6"/>
  <c r="I51" i="6"/>
  <c r="K49" i="6"/>
  <c r="I49" i="6"/>
  <c r="K47" i="6"/>
  <c r="I47" i="6"/>
  <c r="K45" i="6"/>
  <c r="I45" i="6"/>
  <c r="K43" i="6"/>
  <c r="I43" i="6"/>
  <c r="K41" i="6"/>
  <c r="I41" i="6"/>
  <c r="K39" i="6"/>
  <c r="I39" i="6"/>
  <c r="K37" i="6"/>
  <c r="I37" i="6"/>
  <c r="K35" i="6"/>
  <c r="I35" i="6"/>
  <c r="K33" i="6"/>
  <c r="I33" i="6"/>
  <c r="K31" i="6"/>
  <c r="I31" i="6"/>
  <c r="K29" i="6"/>
  <c r="I29" i="6"/>
  <c r="K27" i="6"/>
  <c r="I27" i="6"/>
  <c r="K25" i="6"/>
  <c r="I25" i="6"/>
  <c r="K23" i="6"/>
  <c r="I23" i="6"/>
  <c r="K21" i="6"/>
  <c r="I21" i="6"/>
  <c r="K19" i="6"/>
  <c r="I19" i="6"/>
  <c r="K17" i="6"/>
  <c r="I17" i="6"/>
  <c r="K15" i="6"/>
  <c r="I15" i="6"/>
  <c r="K13" i="6"/>
  <c r="I13" i="6"/>
  <c r="K11" i="6"/>
  <c r="I11" i="6"/>
  <c r="K9" i="6"/>
  <c r="I9" i="6"/>
  <c r="I7" i="6"/>
  <c r="I260" i="6"/>
  <c r="I256" i="6"/>
  <c r="I252" i="6"/>
  <c r="I248" i="6"/>
  <c r="I244" i="6"/>
  <c r="I240" i="6"/>
  <c r="I236" i="6"/>
  <c r="K232" i="6"/>
  <c r="I232" i="6"/>
  <c r="K230" i="6"/>
  <c r="I230" i="6"/>
  <c r="K228" i="6"/>
  <c r="I228" i="6"/>
  <c r="K226" i="6"/>
  <c r="I226" i="6"/>
  <c r="K224" i="6"/>
  <c r="I224" i="6"/>
  <c r="K222" i="6"/>
  <c r="I222" i="6"/>
  <c r="K220" i="6"/>
  <c r="I220" i="6"/>
  <c r="K218" i="6"/>
  <c r="I218" i="6"/>
  <c r="K216" i="6"/>
  <c r="I216" i="6"/>
  <c r="K214" i="6"/>
  <c r="I214" i="6"/>
  <c r="K212" i="6"/>
  <c r="I212" i="6"/>
  <c r="K210" i="6"/>
  <c r="I210" i="6"/>
  <c r="K208" i="6"/>
  <c r="I208" i="6"/>
  <c r="K206" i="6"/>
  <c r="I206" i="6"/>
  <c r="K204" i="6"/>
  <c r="I204" i="6"/>
  <c r="K202" i="6"/>
  <c r="I202" i="6"/>
  <c r="K200" i="6"/>
  <c r="I200" i="6"/>
  <c r="K198" i="6"/>
  <c r="I198" i="6"/>
  <c r="K196" i="6"/>
  <c r="I196" i="6"/>
  <c r="K194" i="6"/>
  <c r="I194" i="6"/>
  <c r="I262" i="6"/>
  <c r="I258" i="6"/>
  <c r="I254" i="6"/>
  <c r="I250" i="6"/>
  <c r="I246" i="6"/>
  <c r="I242" i="6"/>
  <c r="I238" i="6"/>
  <c r="I234" i="6"/>
  <c r="I192" i="6"/>
  <c r="I188" i="6"/>
  <c r="I184" i="6"/>
  <c r="I180" i="6"/>
  <c r="I176" i="6"/>
  <c r="I172" i="6"/>
  <c r="I168" i="6"/>
  <c r="I164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I40" i="6"/>
  <c r="I36" i="6"/>
  <c r="I32" i="6"/>
  <c r="I28" i="6"/>
  <c r="I24" i="6"/>
  <c r="I20" i="6"/>
  <c r="I16" i="6"/>
  <c r="I12" i="6"/>
  <c r="I8" i="6"/>
  <c r="I190" i="6"/>
  <c r="I186" i="6"/>
  <c r="I182" i="6"/>
  <c r="I178" i="6"/>
  <c r="I174" i="6"/>
  <c r="I170" i="6"/>
  <c r="I166" i="6"/>
  <c r="I162" i="6"/>
  <c r="I158" i="6"/>
  <c r="I154" i="6"/>
  <c r="I150" i="6"/>
  <c r="I146" i="6"/>
  <c r="I142" i="6"/>
  <c r="I138" i="6"/>
  <c r="I134" i="6"/>
  <c r="I130" i="6"/>
  <c r="I126" i="6"/>
  <c r="I122" i="6"/>
  <c r="I118" i="6"/>
  <c r="I114" i="6"/>
  <c r="I110" i="6"/>
  <c r="I106" i="6"/>
  <c r="I102" i="6"/>
  <c r="I98" i="6"/>
  <c r="I94" i="6"/>
  <c r="I90" i="6"/>
  <c r="I86" i="6"/>
  <c r="I82" i="6"/>
  <c r="I78" i="6"/>
  <c r="I74" i="6"/>
  <c r="I70" i="6"/>
  <c r="I66" i="6"/>
  <c r="I62" i="6"/>
  <c r="I58" i="6"/>
  <c r="I54" i="6"/>
  <c r="I50" i="6"/>
  <c r="I46" i="6"/>
  <c r="I42" i="6"/>
  <c r="I38" i="6"/>
  <c r="I34" i="6"/>
  <c r="I30" i="6"/>
  <c r="I26" i="6"/>
  <c r="I22" i="6"/>
  <c r="I18" i="6"/>
  <c r="I14" i="6"/>
  <c r="I10" i="6"/>
  <c r="J74" i="6"/>
  <c r="J79" i="6"/>
  <c r="J95" i="6"/>
  <c r="H141" i="6"/>
  <c r="K66" i="7"/>
  <c r="L66" i="7" s="1"/>
  <c r="M66" i="7" s="1"/>
  <c r="F71" i="6" s="1"/>
  <c r="K73" i="7"/>
  <c r="L73" i="7" s="1"/>
  <c r="M73" i="7" s="1"/>
  <c r="F78" i="6" s="1"/>
  <c r="K22" i="7"/>
  <c r="L22" i="7" s="1"/>
  <c r="M22" i="7" s="1"/>
  <c r="F27" i="6" s="1"/>
  <c r="K24" i="7"/>
  <c r="L24" i="7" s="1"/>
  <c r="M24" i="7" s="1"/>
  <c r="F29" i="6" s="1"/>
  <c r="K26" i="7"/>
  <c r="L26" i="7" s="1"/>
  <c r="M26" i="7" s="1"/>
  <c r="F31" i="6" s="1"/>
  <c r="K27" i="7"/>
  <c r="L27" i="7" s="1"/>
  <c r="M27" i="7" s="1"/>
  <c r="F32" i="6" s="1"/>
  <c r="K28" i="7"/>
  <c r="L28" i="7" s="1"/>
  <c r="M28" i="7" s="1"/>
  <c r="F33" i="6" s="1"/>
  <c r="K29" i="7"/>
  <c r="L29" i="7" s="1"/>
  <c r="M29" i="7" s="1"/>
  <c r="F34" i="6" s="1"/>
  <c r="K30" i="7"/>
  <c r="L30" i="7" s="1"/>
  <c r="M30" i="7" s="1"/>
  <c r="F35" i="6" s="1"/>
  <c r="K31" i="7"/>
  <c r="L31" i="7" s="1"/>
  <c r="M31" i="7" s="1"/>
  <c r="F36" i="6" s="1"/>
  <c r="K33" i="7"/>
  <c r="L33" i="7" s="1"/>
  <c r="M33" i="7" s="1"/>
  <c r="F38" i="6" s="1"/>
  <c r="K35" i="7"/>
  <c r="L35" i="7" s="1"/>
  <c r="M35" i="7" s="1"/>
  <c r="F40" i="6" s="1"/>
  <c r="K37" i="7"/>
  <c r="L37" i="7" s="1"/>
  <c r="M37" i="7" s="1"/>
  <c r="F42" i="6" s="1"/>
  <c r="K39" i="7"/>
  <c r="L39" i="7" s="1"/>
  <c r="M39" i="7" s="1"/>
  <c r="F44" i="6" s="1"/>
  <c r="K41" i="7"/>
  <c r="L41" i="7" s="1"/>
  <c r="M41" i="7" s="1"/>
  <c r="F46" i="6" s="1"/>
  <c r="K43" i="7"/>
  <c r="L43" i="7" s="1"/>
  <c r="M43" i="7" s="1"/>
  <c r="F48" i="6" s="1"/>
  <c r="K45" i="7"/>
  <c r="L45" i="7" s="1"/>
  <c r="M45" i="7" s="1"/>
  <c r="F50" i="6" s="1"/>
  <c r="K47" i="7"/>
  <c r="L47" i="7" s="1"/>
  <c r="M47" i="7" s="1"/>
  <c r="F52" i="6" s="1"/>
  <c r="K49" i="7"/>
  <c r="L49" i="7" s="1"/>
  <c r="M49" i="7" s="1"/>
  <c r="F54" i="6" s="1"/>
  <c r="K51" i="7"/>
  <c r="L51" i="7" s="1"/>
  <c r="M51" i="7" s="1"/>
  <c r="F56" i="6" s="1"/>
  <c r="K53" i="7"/>
  <c r="L53" i="7" s="1"/>
  <c r="M53" i="7" s="1"/>
  <c r="F58" i="6" s="1"/>
  <c r="K55" i="7"/>
  <c r="L55" i="7" s="1"/>
  <c r="M55" i="7" s="1"/>
  <c r="F60" i="6" s="1"/>
  <c r="K57" i="7"/>
  <c r="L57" i="7" s="1"/>
  <c r="M57" i="7" s="1"/>
  <c r="F62" i="6" s="1"/>
  <c r="K59" i="7"/>
  <c r="L59" i="7" s="1"/>
  <c r="M59" i="7" s="1"/>
  <c r="F64" i="6" s="1"/>
  <c r="K61" i="7"/>
  <c r="L61" i="7" s="1"/>
  <c r="M61" i="7" s="1"/>
  <c r="F66" i="6" s="1"/>
  <c r="K63" i="7"/>
  <c r="L63" i="7" s="1"/>
  <c r="M63" i="7" s="1"/>
  <c r="F68" i="6" s="1"/>
  <c r="K64" i="7"/>
  <c r="L64" i="7" s="1"/>
  <c r="M64" i="7" s="1"/>
  <c r="F69" i="6" s="1"/>
  <c r="K67" i="7"/>
  <c r="L67" i="7" s="1"/>
  <c r="M67" i="7" s="1"/>
  <c r="F72" i="6" s="1"/>
  <c r="K68" i="7"/>
  <c r="L68" i="7" s="1"/>
  <c r="M68" i="7" s="1"/>
  <c r="F73" i="6" s="1"/>
  <c r="K71" i="7"/>
  <c r="L71" i="7" s="1"/>
  <c r="M71" i="7" s="1"/>
  <c r="F76" i="6" s="1"/>
  <c r="K72" i="7"/>
  <c r="L72" i="7" s="1"/>
  <c r="M72" i="7" s="1"/>
  <c r="F77" i="6" s="1"/>
  <c r="H107" i="6"/>
  <c r="K75" i="7"/>
  <c r="L75" i="7" s="1"/>
  <c r="M75" i="7" s="1"/>
  <c r="F80" i="6" s="1"/>
  <c r="K76" i="7"/>
  <c r="L76" i="7" s="1"/>
  <c r="M76" i="7" s="1"/>
  <c r="F81" i="6" s="1"/>
  <c r="K79" i="7"/>
  <c r="L79" i="7" s="1"/>
  <c r="M79" i="7" s="1"/>
  <c r="F84" i="6" s="1"/>
  <c r="K80" i="7"/>
  <c r="L80" i="7" s="1"/>
  <c r="M80" i="7" s="1"/>
  <c r="F85" i="6" s="1"/>
  <c r="K83" i="7"/>
  <c r="L83" i="7" s="1"/>
  <c r="M83" i="7" s="1"/>
  <c r="F88" i="6" s="1"/>
  <c r="K84" i="7"/>
  <c r="L84" i="7" s="1"/>
  <c r="M84" i="7" s="1"/>
  <c r="F89" i="6" s="1"/>
  <c r="K87" i="7"/>
  <c r="L87" i="7" s="1"/>
  <c r="M87" i="7" s="1"/>
  <c r="F92" i="6" s="1"/>
  <c r="K88" i="7"/>
  <c r="L88" i="7" s="1"/>
  <c r="M88" i="7" s="1"/>
  <c r="F93" i="6" s="1"/>
  <c r="K91" i="7"/>
  <c r="L91" i="7" s="1"/>
  <c r="M91" i="7" s="1"/>
  <c r="F96" i="6" s="1"/>
  <c r="K92" i="7"/>
  <c r="L92" i="7" s="1"/>
  <c r="M92" i="7" s="1"/>
  <c r="F97" i="6" s="1"/>
  <c r="K95" i="7"/>
  <c r="L95" i="7" s="1"/>
  <c r="M95" i="7" s="1"/>
  <c r="F100" i="6" s="1"/>
  <c r="K96" i="7"/>
  <c r="L96" i="7" s="1"/>
  <c r="M96" i="7" s="1"/>
  <c r="F101" i="6" s="1"/>
  <c r="K99" i="7"/>
  <c r="L99" i="7" s="1"/>
  <c r="M99" i="7" s="1"/>
  <c r="F104" i="6" s="1"/>
  <c r="K100" i="7"/>
  <c r="L100" i="7" s="1"/>
  <c r="M100" i="7" s="1"/>
  <c r="F105" i="6" s="1"/>
  <c r="K103" i="7"/>
  <c r="L103" i="7" s="1"/>
  <c r="M103" i="7" s="1"/>
  <c r="F108" i="6" s="1"/>
  <c r="K104" i="7"/>
  <c r="L104" i="7" s="1"/>
  <c r="M104" i="7" s="1"/>
  <c r="F109" i="6" s="1"/>
  <c r="K107" i="7"/>
  <c r="L107" i="7" s="1"/>
  <c r="M107" i="7" s="1"/>
  <c r="F112" i="6" s="1"/>
  <c r="K108" i="7"/>
  <c r="L108" i="7" s="1"/>
  <c r="M108" i="7" s="1"/>
  <c r="F113" i="6" s="1"/>
  <c r="K110" i="7"/>
  <c r="L110" i="7" s="1"/>
  <c r="M110" i="7" s="1"/>
  <c r="F115" i="6" s="1"/>
  <c r="K112" i="7"/>
  <c r="L112" i="7" s="1"/>
  <c r="M112" i="7" s="1"/>
  <c r="F117" i="6" s="1"/>
  <c r="K114" i="7"/>
  <c r="L114" i="7" s="1"/>
  <c r="M114" i="7" s="1"/>
  <c r="F119" i="6" s="1"/>
  <c r="K117" i="7"/>
  <c r="L117" i="7" s="1"/>
  <c r="M117" i="7" s="1"/>
  <c r="F122" i="6" s="1"/>
  <c r="K118" i="7"/>
  <c r="L118" i="7" s="1"/>
  <c r="M118" i="7" s="1"/>
  <c r="F123" i="6" s="1"/>
  <c r="K121" i="7"/>
  <c r="L121" i="7" s="1"/>
  <c r="M121" i="7" s="1"/>
  <c r="F126" i="6" s="1"/>
  <c r="K122" i="7"/>
  <c r="L122" i="7" s="1"/>
  <c r="M122" i="7" s="1"/>
  <c r="F127" i="6" s="1"/>
  <c r="K125" i="7"/>
  <c r="L125" i="7" s="1"/>
  <c r="M125" i="7" s="1"/>
  <c r="F130" i="6" s="1"/>
  <c r="K126" i="7"/>
  <c r="L126" i="7" s="1"/>
  <c r="M126" i="7" s="1"/>
  <c r="F131" i="6" s="1"/>
  <c r="K129" i="7"/>
  <c r="L129" i="7" s="1"/>
  <c r="M129" i="7" s="1"/>
  <c r="F134" i="6" s="1"/>
  <c r="K130" i="7"/>
  <c r="L130" i="7" s="1"/>
  <c r="M130" i="7" s="1"/>
  <c r="F135" i="6" s="1"/>
  <c r="K133" i="7"/>
  <c r="L133" i="7" s="1"/>
  <c r="M133" i="7" s="1"/>
  <c r="F138" i="6" s="1"/>
  <c r="K134" i="7"/>
  <c r="L134" i="7" s="1"/>
  <c r="M134" i="7" s="1"/>
  <c r="F139" i="6" s="1"/>
  <c r="K137" i="7"/>
  <c r="L137" i="7" s="1"/>
  <c r="M137" i="7" s="1"/>
  <c r="F142" i="6" s="1"/>
  <c r="K138" i="7"/>
  <c r="L138" i="7" s="1"/>
  <c r="M138" i="7" s="1"/>
  <c r="F143" i="6" s="1"/>
  <c r="K141" i="7"/>
  <c r="L141" i="7" s="1"/>
  <c r="M141" i="7" s="1"/>
  <c r="F146" i="6" s="1"/>
  <c r="K142" i="7"/>
  <c r="L142" i="7" s="1"/>
  <c r="M142" i="7" s="1"/>
  <c r="F147" i="6" s="1"/>
  <c r="K145" i="7"/>
  <c r="L145" i="7" s="1"/>
  <c r="M145" i="7" s="1"/>
  <c r="F150" i="6" s="1"/>
  <c r="K146" i="7"/>
  <c r="L146" i="7" s="1"/>
  <c r="M146" i="7" s="1"/>
  <c r="F151" i="6" s="1"/>
  <c r="K149" i="7"/>
  <c r="L149" i="7" s="1"/>
  <c r="M149" i="7" s="1"/>
  <c r="F154" i="6" s="1"/>
  <c r="K151" i="7"/>
  <c r="L151" i="7" s="1"/>
  <c r="M151" i="7" s="1"/>
  <c r="F156" i="6" s="1"/>
  <c r="K153" i="7"/>
  <c r="L153" i="7" s="1"/>
  <c r="M153" i="7" s="1"/>
  <c r="F158" i="6" s="1"/>
  <c r="K155" i="7"/>
  <c r="L155" i="7" s="1"/>
  <c r="M155" i="7" s="1"/>
  <c r="F160" i="6" s="1"/>
  <c r="K157" i="7"/>
  <c r="L157" i="7" s="1"/>
  <c r="M157" i="7" s="1"/>
  <c r="F162" i="6" s="1"/>
  <c r="K159" i="7"/>
  <c r="L159" i="7" s="1"/>
  <c r="M159" i="7" s="1"/>
  <c r="F164" i="6" s="1"/>
  <c r="K160" i="7"/>
  <c r="L160" i="7" s="1"/>
  <c r="M160" i="7" s="1"/>
  <c r="F165" i="6" s="1"/>
  <c r="K162" i="7"/>
  <c r="L162" i="7" s="1"/>
  <c r="M162" i="7" s="1"/>
  <c r="F167" i="6" s="1"/>
  <c r="K164" i="7"/>
  <c r="L164" i="7" s="1"/>
  <c r="M164" i="7" s="1"/>
  <c r="F169" i="6" s="1"/>
  <c r="K166" i="7"/>
  <c r="L166" i="7" s="1"/>
  <c r="M166" i="7" s="1"/>
  <c r="F171" i="6" s="1"/>
  <c r="K168" i="7"/>
  <c r="L168" i="7" s="1"/>
  <c r="M168" i="7" s="1"/>
  <c r="F173" i="6" s="1"/>
  <c r="K170" i="7"/>
  <c r="L170" i="7" s="1"/>
  <c r="M170" i="7" s="1"/>
  <c r="F175" i="6" s="1"/>
  <c r="K172" i="7"/>
  <c r="L172" i="7" s="1"/>
  <c r="M172" i="7" s="1"/>
  <c r="F177" i="6" s="1"/>
  <c r="K174" i="7"/>
  <c r="L174" i="7" s="1"/>
  <c r="M174" i="7" s="1"/>
  <c r="F179" i="6" s="1"/>
  <c r="K176" i="7"/>
  <c r="L176" i="7" s="1"/>
  <c r="M176" i="7" s="1"/>
  <c r="F181" i="6" s="1"/>
  <c r="K178" i="7"/>
  <c r="L178" i="7" s="1"/>
  <c r="M178" i="7" s="1"/>
  <c r="F183" i="6" s="1"/>
  <c r="K180" i="7"/>
  <c r="L180" i="7" s="1"/>
  <c r="M180" i="7" s="1"/>
  <c r="F185" i="6" s="1"/>
  <c r="K182" i="7"/>
  <c r="L182" i="7" s="1"/>
  <c r="M182" i="7" s="1"/>
  <c r="F187" i="6" s="1"/>
  <c r="K184" i="7"/>
  <c r="L184" i="7" s="1"/>
  <c r="M184" i="7" s="1"/>
  <c r="F189" i="6" s="1"/>
  <c r="K186" i="7"/>
  <c r="L186" i="7" s="1"/>
  <c r="M186" i="7" s="1"/>
  <c r="F191" i="6" s="1"/>
  <c r="K188" i="7"/>
  <c r="L188" i="7" s="1"/>
  <c r="M188" i="7" s="1"/>
  <c r="F193" i="6" s="1"/>
  <c r="K190" i="7"/>
  <c r="L190" i="7" s="1"/>
  <c r="M190" i="7" s="1"/>
  <c r="F195" i="6" s="1"/>
  <c r="K192" i="7"/>
  <c r="L192" i="7" s="1"/>
  <c r="M192" i="7" s="1"/>
  <c r="F197" i="6" s="1"/>
  <c r="K194" i="7"/>
  <c r="L194" i="7" s="1"/>
  <c r="M194" i="7" s="1"/>
  <c r="F199" i="6" s="1"/>
  <c r="K196" i="7"/>
  <c r="L196" i="7" s="1"/>
  <c r="M196" i="7" s="1"/>
  <c r="F201" i="6" s="1"/>
  <c r="K198" i="7"/>
  <c r="L198" i="7" s="1"/>
  <c r="M198" i="7" s="1"/>
  <c r="F203" i="6" s="1"/>
  <c r="K200" i="7"/>
  <c r="L200" i="7" s="1"/>
  <c r="M200" i="7" s="1"/>
  <c r="F205" i="6" s="1"/>
  <c r="K202" i="7"/>
  <c r="L202" i="7" s="1"/>
  <c r="M202" i="7" s="1"/>
  <c r="F207" i="6" s="1"/>
  <c r="K204" i="7"/>
  <c r="L204" i="7" s="1"/>
  <c r="M204" i="7" s="1"/>
  <c r="F209" i="6" s="1"/>
  <c r="K206" i="7"/>
  <c r="L206" i="7" s="1"/>
  <c r="M206" i="7" s="1"/>
  <c r="F211" i="6" s="1"/>
  <c r="K208" i="7"/>
  <c r="L208" i="7" s="1"/>
  <c r="M208" i="7" s="1"/>
  <c r="F213" i="6" s="1"/>
  <c r="K210" i="7"/>
  <c r="L210" i="7" s="1"/>
  <c r="M210" i="7" s="1"/>
  <c r="F215" i="6" s="1"/>
  <c r="K212" i="7"/>
  <c r="L212" i="7" s="1"/>
  <c r="M212" i="7" s="1"/>
  <c r="F217" i="6" s="1"/>
  <c r="K214" i="7"/>
  <c r="L214" i="7" s="1"/>
  <c r="M214" i="7" s="1"/>
  <c r="F219" i="6" s="1"/>
  <c r="K216" i="7"/>
  <c r="L216" i="7" s="1"/>
  <c r="M216" i="7" s="1"/>
  <c r="F221" i="6" s="1"/>
  <c r="K218" i="7"/>
  <c r="L218" i="7" s="1"/>
  <c r="M218" i="7" s="1"/>
  <c r="F223" i="6" s="1"/>
  <c r="K220" i="7"/>
  <c r="L220" i="7" s="1"/>
  <c r="M220" i="7" s="1"/>
  <c r="F225" i="6" s="1"/>
  <c r="K222" i="7"/>
  <c r="L222" i="7" s="1"/>
  <c r="M222" i="7" s="1"/>
  <c r="F227" i="6" s="1"/>
  <c r="K224" i="7"/>
  <c r="L224" i="7" s="1"/>
  <c r="M224" i="7" s="1"/>
  <c r="F229" i="6" s="1"/>
  <c r="K226" i="7"/>
  <c r="L226" i="7" s="1"/>
  <c r="M226" i="7" s="1"/>
  <c r="F231" i="6" s="1"/>
  <c r="K228" i="7"/>
  <c r="L228" i="7" s="1"/>
  <c r="M228" i="7" s="1"/>
  <c r="F233" i="6" s="1"/>
  <c r="K230" i="7"/>
  <c r="L230" i="7" s="1"/>
  <c r="M230" i="7" s="1"/>
  <c r="F235" i="6" s="1"/>
  <c r="K232" i="7"/>
  <c r="L232" i="7" s="1"/>
  <c r="M232" i="7" s="1"/>
  <c r="F237" i="6" s="1"/>
  <c r="K234" i="7"/>
  <c r="L234" i="7" s="1"/>
  <c r="M234" i="7" s="1"/>
  <c r="F239" i="6" s="1"/>
  <c r="K236" i="7"/>
  <c r="L236" i="7" s="1"/>
  <c r="M236" i="7" s="1"/>
  <c r="F241" i="6" s="1"/>
  <c r="K238" i="7"/>
  <c r="L238" i="7" s="1"/>
  <c r="M238" i="7" s="1"/>
  <c r="F243" i="6" s="1"/>
  <c r="K240" i="7"/>
  <c r="L240" i="7" s="1"/>
  <c r="M240" i="7" s="1"/>
  <c r="F245" i="6" s="1"/>
  <c r="K242" i="7"/>
  <c r="L242" i="7" s="1"/>
  <c r="M242" i="7" s="1"/>
  <c r="F247" i="6" s="1"/>
  <c r="K244" i="7"/>
  <c r="L244" i="7" s="1"/>
  <c r="M244" i="7" s="1"/>
  <c r="F249" i="6" s="1"/>
  <c r="K246" i="7"/>
  <c r="L246" i="7" s="1"/>
  <c r="M246" i="7" s="1"/>
  <c r="F251" i="6" s="1"/>
  <c r="K248" i="7"/>
  <c r="L248" i="7" s="1"/>
  <c r="M248" i="7" s="1"/>
  <c r="F253" i="6" s="1"/>
  <c r="K250" i="7"/>
  <c r="L250" i="7" s="1"/>
  <c r="M250" i="7" s="1"/>
  <c r="F255" i="6" s="1"/>
  <c r="K252" i="7"/>
  <c r="L252" i="7" s="1"/>
  <c r="M252" i="7" s="1"/>
  <c r="F257" i="6" s="1"/>
  <c r="K254" i="7"/>
  <c r="L254" i="7" s="1"/>
  <c r="M254" i="7" s="1"/>
  <c r="F259" i="6" s="1"/>
  <c r="K256" i="7"/>
  <c r="L256" i="7" s="1"/>
  <c r="M256" i="7" s="1"/>
  <c r="F261" i="6" s="1"/>
  <c r="K258" i="7"/>
  <c r="L258" i="7" s="1"/>
  <c r="M258" i="7" s="1"/>
  <c r="K21" i="7"/>
  <c r="L21" i="7" s="1"/>
  <c r="M21" i="7" s="1"/>
  <c r="F26" i="6" s="1"/>
  <c r="K18" i="7"/>
  <c r="L18" i="7" s="1"/>
  <c r="M18" i="7" s="1"/>
  <c r="F23" i="6" s="1"/>
  <c r="K20" i="7"/>
  <c r="L20" i="7" s="1"/>
  <c r="M20" i="7" s="1"/>
  <c r="F25" i="6" s="1"/>
  <c r="K5" i="7"/>
  <c r="L5" i="7" s="1"/>
  <c r="K7" i="7"/>
  <c r="L7" i="7" s="1"/>
  <c r="K9" i="7"/>
  <c r="L9" i="7" s="1"/>
  <c r="K11" i="7"/>
  <c r="L11" i="7" s="1"/>
  <c r="K13" i="7"/>
  <c r="L13" i="7" s="1"/>
  <c r="K15" i="7"/>
  <c r="L15" i="7" s="1"/>
  <c r="K17" i="7"/>
  <c r="L17" i="7" s="1"/>
  <c r="K3" i="7"/>
  <c r="L3" i="7" s="1"/>
  <c r="K4" i="7"/>
  <c r="L4" i="7" s="1"/>
  <c r="K6" i="7"/>
  <c r="L6" i="7" s="1"/>
  <c r="K8" i="7"/>
  <c r="L8" i="7" s="1"/>
  <c r="K10" i="7"/>
  <c r="L10" i="7" s="1"/>
  <c r="K12" i="7"/>
  <c r="L12" i="7" s="1"/>
  <c r="K14" i="7"/>
  <c r="L14" i="7" s="1"/>
  <c r="K16" i="7"/>
  <c r="L16" i="7" s="1"/>
  <c r="K2" i="7"/>
  <c r="L2" i="7" s="1"/>
  <c r="M2" i="7" s="1"/>
  <c r="F7" i="6" s="1"/>
  <c r="W64" i="7"/>
  <c r="W67" i="7"/>
  <c r="W68" i="7"/>
  <c r="W71" i="7"/>
  <c r="W72" i="7"/>
  <c r="W75" i="7"/>
  <c r="W76" i="7"/>
  <c r="W79" i="7"/>
  <c r="W80" i="7"/>
  <c r="W83" i="7"/>
  <c r="W84" i="7"/>
  <c r="W87" i="7"/>
  <c r="W88" i="7"/>
  <c r="W91" i="7"/>
  <c r="W92" i="7"/>
  <c r="W95" i="7"/>
  <c r="W96" i="7"/>
  <c r="W99" i="7"/>
  <c r="W100" i="7"/>
  <c r="W103" i="7"/>
  <c r="W104" i="7"/>
  <c r="W107" i="7"/>
  <c r="W108" i="7"/>
  <c r="W109" i="7"/>
  <c r="W110" i="7"/>
  <c r="W111" i="7"/>
  <c r="W112" i="7"/>
  <c r="W113" i="7"/>
  <c r="W114" i="7"/>
  <c r="W117" i="7"/>
  <c r="W118" i="7"/>
  <c r="W121" i="7"/>
  <c r="W122" i="7"/>
  <c r="W125" i="7"/>
  <c r="W126" i="7"/>
  <c r="W129" i="7"/>
  <c r="W130" i="7"/>
  <c r="W133" i="7"/>
  <c r="W134" i="7"/>
  <c r="W137" i="7"/>
  <c r="W138" i="7"/>
  <c r="W141" i="7"/>
  <c r="W142" i="7"/>
  <c r="W145" i="7"/>
  <c r="W146" i="7"/>
  <c r="X194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X66" i="7"/>
  <c r="W66" i="7"/>
  <c r="X70" i="7"/>
  <c r="W70" i="7"/>
  <c r="X74" i="7"/>
  <c r="W74" i="7"/>
  <c r="X78" i="7"/>
  <c r="W78" i="7"/>
  <c r="X82" i="7"/>
  <c r="W82" i="7"/>
  <c r="X86" i="7"/>
  <c r="W86" i="7"/>
  <c r="X90" i="7"/>
  <c r="W90" i="7"/>
  <c r="X94" i="7"/>
  <c r="W94" i="7"/>
  <c r="X98" i="7"/>
  <c r="W98" i="7"/>
  <c r="X102" i="7"/>
  <c r="W102" i="7"/>
  <c r="X106" i="7"/>
  <c r="W106" i="7"/>
  <c r="X116" i="7"/>
  <c r="W116" i="7"/>
  <c r="X120" i="7"/>
  <c r="W120" i="7"/>
  <c r="X124" i="7"/>
  <c r="W124" i="7"/>
  <c r="X128" i="7"/>
  <c r="W128" i="7"/>
  <c r="X132" i="7"/>
  <c r="W132" i="7"/>
  <c r="X136" i="7"/>
  <c r="W136" i="7"/>
  <c r="X140" i="7"/>
  <c r="W140" i="7"/>
  <c r="X144" i="7"/>
  <c r="W144" i="7"/>
  <c r="X148" i="7"/>
  <c r="W148" i="7"/>
  <c r="X150" i="7"/>
  <c r="W150" i="7"/>
  <c r="X65" i="7"/>
  <c r="W65" i="7"/>
  <c r="X69" i="7"/>
  <c r="W69" i="7"/>
  <c r="X73" i="7"/>
  <c r="W73" i="7"/>
  <c r="X77" i="7"/>
  <c r="W77" i="7"/>
  <c r="X81" i="7"/>
  <c r="W81" i="7"/>
  <c r="X85" i="7"/>
  <c r="W85" i="7"/>
  <c r="X89" i="7"/>
  <c r="W89" i="7"/>
  <c r="X93" i="7"/>
  <c r="W93" i="7"/>
  <c r="X97" i="7"/>
  <c r="W97" i="7"/>
  <c r="X101" i="7"/>
  <c r="W101" i="7"/>
  <c r="X105" i="7"/>
  <c r="W105" i="7"/>
  <c r="X115" i="7"/>
  <c r="W115" i="7"/>
  <c r="X119" i="7"/>
  <c r="W119" i="7"/>
  <c r="X123" i="7"/>
  <c r="W123" i="7"/>
  <c r="X127" i="7"/>
  <c r="W127" i="7"/>
  <c r="X131" i="7"/>
  <c r="W131" i="7"/>
  <c r="X135" i="7"/>
  <c r="W135" i="7"/>
  <c r="X139" i="7"/>
  <c r="W139" i="7"/>
  <c r="X143" i="7"/>
  <c r="W143" i="7"/>
  <c r="X147" i="7"/>
  <c r="W147" i="7"/>
  <c r="X149" i="7"/>
  <c r="W149" i="7"/>
  <c r="X151" i="7"/>
  <c r="W151" i="7"/>
  <c r="W152" i="7"/>
  <c r="W153" i="7"/>
  <c r="W154" i="7"/>
  <c r="W155" i="7"/>
  <c r="W156" i="7"/>
  <c r="W157" i="7"/>
  <c r="W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32" i="7"/>
  <c r="X33" i="7"/>
  <c r="X35" i="7"/>
  <c r="X36" i="7"/>
  <c r="X38" i="7"/>
  <c r="X39" i="7"/>
  <c r="X41" i="7"/>
  <c r="X43" i="7"/>
  <c r="X44" i="7"/>
  <c r="X46" i="7"/>
  <c r="X47" i="7"/>
  <c r="X49" i="7"/>
  <c r="X50" i="7"/>
  <c r="X51" i="7"/>
  <c r="W31" i="7"/>
  <c r="W34" i="7"/>
  <c r="W37" i="7"/>
  <c r="W40" i="7"/>
  <c r="W42" i="7"/>
  <c r="W45" i="7"/>
  <c r="W48" i="7"/>
  <c r="W52" i="7"/>
  <c r="W53" i="7"/>
  <c r="W54" i="7"/>
  <c r="W55" i="7"/>
  <c r="W56" i="7"/>
  <c r="W57" i="7"/>
  <c r="W58" i="7"/>
  <c r="W59" i="7"/>
  <c r="W60" i="7"/>
  <c r="W61" i="7"/>
  <c r="W62" i="7"/>
  <c r="W63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H174" i="6" l="1"/>
  <c r="J202" i="6"/>
  <c r="J170" i="6"/>
  <c r="H83" i="6"/>
  <c r="H206" i="6"/>
  <c r="H204" i="6"/>
  <c r="H188" i="6"/>
  <c r="H172" i="6"/>
  <c r="J125" i="6"/>
  <c r="H194" i="6"/>
  <c r="J182" i="6"/>
  <c r="H161" i="6"/>
  <c r="J246" i="6"/>
  <c r="J132" i="6"/>
  <c r="H94" i="6"/>
  <c r="J51" i="6"/>
  <c r="J214" i="6"/>
  <c r="J198" i="6"/>
  <c r="H190" i="6"/>
  <c r="J186" i="6"/>
  <c r="H178" i="6"/>
  <c r="J166" i="6"/>
  <c r="H157" i="6"/>
  <c r="J121" i="6"/>
  <c r="H99" i="6"/>
  <c r="J91" i="6"/>
  <c r="H149" i="6"/>
  <c r="H133" i="6"/>
  <c r="J230" i="6"/>
  <c r="J155" i="6"/>
  <c r="H242" i="6"/>
  <c r="H226" i="6"/>
  <c r="H210" i="6"/>
  <c r="H140" i="6"/>
  <c r="H252" i="6"/>
  <c r="H244" i="6"/>
  <c r="H236" i="6"/>
  <c r="H228" i="6"/>
  <c r="H220" i="6"/>
  <c r="H212" i="6"/>
  <c r="H196" i="6"/>
  <c r="H180" i="6"/>
  <c r="H163" i="6"/>
  <c r="H153" i="6"/>
  <c r="H137" i="6"/>
  <c r="J111" i="6"/>
  <c r="H260" i="6"/>
  <c r="H110" i="6"/>
  <c r="J43" i="6"/>
  <c r="H39" i="6"/>
  <c r="H222" i="6"/>
  <c r="J218" i="6"/>
  <c r="H254" i="6"/>
  <c r="J250" i="6"/>
  <c r="H238" i="6"/>
  <c r="J234" i="6"/>
  <c r="J262" i="6"/>
  <c r="H258" i="6"/>
  <c r="J57" i="6"/>
  <c r="H53" i="6"/>
  <c r="J65" i="6"/>
  <c r="J37" i="6"/>
  <c r="H114" i="6"/>
  <c r="J106" i="6"/>
  <c r="H87" i="6"/>
  <c r="H45" i="6"/>
  <c r="H148" i="6"/>
  <c r="J124" i="6"/>
  <c r="J61" i="6"/>
  <c r="J41" i="6"/>
  <c r="J28" i="6"/>
  <c r="H118" i="6"/>
  <c r="J98" i="6"/>
  <c r="H90" i="6"/>
  <c r="H82" i="6"/>
  <c r="H49" i="6"/>
  <c r="H70" i="6"/>
  <c r="H256" i="6"/>
  <c r="H248" i="6"/>
  <c r="H240" i="6"/>
  <c r="H232" i="6"/>
  <c r="H224" i="6"/>
  <c r="H216" i="6"/>
  <c r="H208" i="6"/>
  <c r="H200" i="6"/>
  <c r="H192" i="6"/>
  <c r="H184" i="6"/>
  <c r="H176" i="6"/>
  <c r="H168" i="6"/>
  <c r="H159" i="6"/>
  <c r="H145" i="6"/>
  <c r="H129" i="6"/>
  <c r="H102" i="6"/>
  <c r="H86" i="6"/>
  <c r="H75" i="6"/>
  <c r="J55" i="6"/>
  <c r="J47" i="6"/>
  <c r="J30" i="6"/>
  <c r="J116" i="6"/>
  <c r="J103" i="6"/>
  <c r="J63" i="6"/>
  <c r="H24" i="6"/>
  <c r="J144" i="6"/>
  <c r="J128" i="6"/>
  <c r="J152" i="6"/>
  <c r="J136" i="6"/>
  <c r="J120" i="6"/>
  <c r="J67" i="6"/>
  <c r="J59" i="6"/>
  <c r="M10" i="7"/>
  <c r="F15" i="6" s="1"/>
  <c r="H15" i="6" s="1"/>
  <c r="M14" i="7"/>
  <c r="F19" i="6" s="1"/>
  <c r="H19" i="6" s="1"/>
  <c r="M6" i="7"/>
  <c r="F11" i="6" s="1"/>
  <c r="J11" i="6" s="1"/>
  <c r="J25" i="6"/>
  <c r="H25" i="6"/>
  <c r="J26" i="6"/>
  <c r="H26" i="6"/>
  <c r="J257" i="6"/>
  <c r="H257" i="6"/>
  <c r="J253" i="6"/>
  <c r="H253" i="6"/>
  <c r="J245" i="6"/>
  <c r="H245" i="6"/>
  <c r="J241" i="6"/>
  <c r="H241" i="6"/>
  <c r="J233" i="6"/>
  <c r="H233" i="6"/>
  <c r="J229" i="6"/>
  <c r="H229" i="6"/>
  <c r="J221" i="6"/>
  <c r="H221" i="6"/>
  <c r="J217" i="6"/>
  <c r="H217" i="6"/>
  <c r="J209" i="6"/>
  <c r="H209" i="6"/>
  <c r="J205" i="6"/>
  <c r="H205" i="6"/>
  <c r="J197" i="6"/>
  <c r="H197" i="6"/>
  <c r="J193" i="6"/>
  <c r="H193" i="6"/>
  <c r="J185" i="6"/>
  <c r="H185" i="6"/>
  <c r="J181" i="6"/>
  <c r="H181" i="6"/>
  <c r="J173" i="6"/>
  <c r="H173" i="6"/>
  <c r="J169" i="6"/>
  <c r="H169" i="6"/>
  <c r="J162" i="6"/>
  <c r="H162" i="6"/>
  <c r="J158" i="6"/>
  <c r="H158" i="6"/>
  <c r="J150" i="6"/>
  <c r="H150" i="6"/>
  <c r="J146" i="6"/>
  <c r="H146" i="6"/>
  <c r="J138" i="6"/>
  <c r="H138" i="6"/>
  <c r="J130" i="6"/>
  <c r="H130" i="6"/>
  <c r="J126" i="6"/>
  <c r="H126" i="6"/>
  <c r="J117" i="6"/>
  <c r="H117" i="6"/>
  <c r="J113" i="6"/>
  <c r="H113" i="6"/>
  <c r="J23" i="6"/>
  <c r="H23" i="6"/>
  <c r="J259" i="6"/>
  <c r="H259" i="6"/>
  <c r="J255" i="6"/>
  <c r="H255" i="6"/>
  <c r="J251" i="6"/>
  <c r="H251" i="6"/>
  <c r="J247" i="6"/>
  <c r="H247" i="6"/>
  <c r="J243" i="6"/>
  <c r="H243" i="6"/>
  <c r="J239" i="6"/>
  <c r="H239" i="6"/>
  <c r="J235" i="6"/>
  <c r="H235" i="6"/>
  <c r="J231" i="6"/>
  <c r="H231" i="6"/>
  <c r="J227" i="6"/>
  <c r="H227" i="6"/>
  <c r="J223" i="6"/>
  <c r="H223" i="6"/>
  <c r="J219" i="6"/>
  <c r="H219" i="6"/>
  <c r="J215" i="6"/>
  <c r="H215" i="6"/>
  <c r="J211" i="6"/>
  <c r="H211" i="6"/>
  <c r="J207" i="6"/>
  <c r="H207" i="6"/>
  <c r="J203" i="6"/>
  <c r="H203" i="6"/>
  <c r="J199" i="6"/>
  <c r="H199" i="6"/>
  <c r="J195" i="6"/>
  <c r="H195" i="6"/>
  <c r="J191" i="6"/>
  <c r="H191" i="6"/>
  <c r="J187" i="6"/>
  <c r="H187" i="6"/>
  <c r="J183" i="6"/>
  <c r="H183" i="6"/>
  <c r="J179" i="6"/>
  <c r="H179" i="6"/>
  <c r="J175" i="6"/>
  <c r="H175" i="6"/>
  <c r="J171" i="6"/>
  <c r="H171" i="6"/>
  <c r="J167" i="6"/>
  <c r="H167" i="6"/>
  <c r="J164" i="6"/>
  <c r="H164" i="6"/>
  <c r="J160" i="6"/>
  <c r="H160" i="6"/>
  <c r="J156" i="6"/>
  <c r="H156" i="6"/>
  <c r="J151" i="6"/>
  <c r="H151" i="6"/>
  <c r="J147" i="6"/>
  <c r="H147" i="6"/>
  <c r="J143" i="6"/>
  <c r="H143" i="6"/>
  <c r="J139" i="6"/>
  <c r="H139" i="6"/>
  <c r="J135" i="6"/>
  <c r="H135" i="6"/>
  <c r="J131" i="6"/>
  <c r="H131" i="6"/>
  <c r="J127" i="6"/>
  <c r="H127" i="6"/>
  <c r="J123" i="6"/>
  <c r="H123" i="6"/>
  <c r="J119" i="6"/>
  <c r="H119" i="6"/>
  <c r="J115" i="6"/>
  <c r="H115" i="6"/>
  <c r="J112" i="6"/>
  <c r="H112" i="6"/>
  <c r="J108" i="6"/>
  <c r="H108" i="6"/>
  <c r="J104" i="6"/>
  <c r="H104" i="6"/>
  <c r="J100" i="6"/>
  <c r="H100" i="6"/>
  <c r="J96" i="6"/>
  <c r="H96" i="6"/>
  <c r="J92" i="6"/>
  <c r="H92" i="6"/>
  <c r="J88" i="6"/>
  <c r="H88" i="6"/>
  <c r="J84" i="6"/>
  <c r="H84" i="6"/>
  <c r="J80" i="6"/>
  <c r="H80" i="6"/>
  <c r="J76" i="6"/>
  <c r="H76" i="6"/>
  <c r="J72" i="6"/>
  <c r="H72" i="6"/>
  <c r="J68" i="6"/>
  <c r="H68" i="6"/>
  <c r="J64" i="6"/>
  <c r="H64" i="6"/>
  <c r="J60" i="6"/>
  <c r="H60" i="6"/>
  <c r="J56" i="6"/>
  <c r="H56" i="6"/>
  <c r="J52" i="6"/>
  <c r="H52" i="6"/>
  <c r="J48" i="6"/>
  <c r="H48" i="6"/>
  <c r="J44" i="6"/>
  <c r="H44" i="6"/>
  <c r="J40" i="6"/>
  <c r="H40" i="6"/>
  <c r="J36" i="6"/>
  <c r="H36" i="6"/>
  <c r="J34" i="6"/>
  <c r="H34" i="6"/>
  <c r="J32" i="6"/>
  <c r="H32" i="6"/>
  <c r="J29" i="6"/>
  <c r="H29" i="6"/>
  <c r="J78" i="6"/>
  <c r="H78" i="6"/>
  <c r="J7" i="6"/>
  <c r="H7" i="6"/>
  <c r="J261" i="6"/>
  <c r="H261" i="6"/>
  <c r="J249" i="6"/>
  <c r="H249" i="6"/>
  <c r="J237" i="6"/>
  <c r="H237" i="6"/>
  <c r="J225" i="6"/>
  <c r="H225" i="6"/>
  <c r="J213" i="6"/>
  <c r="H213" i="6"/>
  <c r="J201" i="6"/>
  <c r="H201" i="6"/>
  <c r="J189" i="6"/>
  <c r="H189" i="6"/>
  <c r="J177" i="6"/>
  <c r="H177" i="6"/>
  <c r="J165" i="6"/>
  <c r="H165" i="6"/>
  <c r="J154" i="6"/>
  <c r="H154" i="6"/>
  <c r="J142" i="6"/>
  <c r="H142" i="6"/>
  <c r="J134" i="6"/>
  <c r="H134" i="6"/>
  <c r="J122" i="6"/>
  <c r="H122" i="6"/>
  <c r="J109" i="6"/>
  <c r="H109" i="6"/>
  <c r="J105" i="6"/>
  <c r="H105" i="6"/>
  <c r="J101" i="6"/>
  <c r="H101" i="6"/>
  <c r="J97" i="6"/>
  <c r="H97" i="6"/>
  <c r="J93" i="6"/>
  <c r="H93" i="6"/>
  <c r="J89" i="6"/>
  <c r="H89" i="6"/>
  <c r="J85" i="6"/>
  <c r="H85" i="6"/>
  <c r="J81" i="6"/>
  <c r="H81" i="6"/>
  <c r="J77" i="6"/>
  <c r="H77" i="6"/>
  <c r="J73" i="6"/>
  <c r="H73" i="6"/>
  <c r="J69" i="6"/>
  <c r="H69" i="6"/>
  <c r="J66" i="6"/>
  <c r="H66" i="6"/>
  <c r="J62" i="6"/>
  <c r="H62" i="6"/>
  <c r="J58" i="6"/>
  <c r="H58" i="6"/>
  <c r="J54" i="6"/>
  <c r="H54" i="6"/>
  <c r="J50" i="6"/>
  <c r="H50" i="6"/>
  <c r="J46" i="6"/>
  <c r="H46" i="6"/>
  <c r="J42" i="6"/>
  <c r="H42" i="6"/>
  <c r="J38" i="6"/>
  <c r="H38" i="6"/>
  <c r="J35" i="6"/>
  <c r="H35" i="6"/>
  <c r="J33" i="6"/>
  <c r="H33" i="6"/>
  <c r="J31" i="6"/>
  <c r="H31" i="6"/>
  <c r="J27" i="6"/>
  <c r="H27" i="6"/>
  <c r="J71" i="6"/>
  <c r="H71" i="6"/>
  <c r="M16" i="7"/>
  <c r="F21" i="6" s="1"/>
  <c r="M12" i="7"/>
  <c r="F17" i="6" s="1"/>
  <c r="M8" i="7"/>
  <c r="F13" i="6" s="1"/>
  <c r="M4" i="7"/>
  <c r="F9" i="6" s="1"/>
  <c r="M5" i="7"/>
  <c r="F10" i="6" s="1"/>
  <c r="M17" i="7"/>
  <c r="F22" i="6" s="1"/>
  <c r="M15" i="7"/>
  <c r="F20" i="6" s="1"/>
  <c r="M13" i="7"/>
  <c r="F18" i="6" s="1"/>
  <c r="M11" i="7"/>
  <c r="F16" i="6" s="1"/>
  <c r="M9" i="7"/>
  <c r="F14" i="6" s="1"/>
  <c r="M7" i="7"/>
  <c r="F12" i="6" s="1"/>
  <c r="M3" i="7"/>
  <c r="F8" i="6" s="1"/>
  <c r="J19" i="6" l="1"/>
  <c r="J15" i="6"/>
  <c r="H11" i="6"/>
  <c r="J8" i="6"/>
  <c r="H8" i="6"/>
  <c r="J14" i="6"/>
  <c r="H14" i="6"/>
  <c r="J18" i="6"/>
  <c r="H18" i="6"/>
  <c r="J22" i="6"/>
  <c r="H22" i="6"/>
  <c r="J9" i="6"/>
  <c r="H9" i="6"/>
  <c r="J17" i="6"/>
  <c r="H17" i="6"/>
  <c r="J12" i="6"/>
  <c r="H12" i="6"/>
  <c r="J16" i="6"/>
  <c r="H16" i="6"/>
  <c r="J20" i="6"/>
  <c r="H20" i="6"/>
  <c r="J10" i="6"/>
  <c r="H10" i="6"/>
  <c r="J13" i="6"/>
  <c r="H13" i="6"/>
  <c r="J21" i="6"/>
  <c r="H21" i="6"/>
  <c r="F22" i="4"/>
  <c r="F23" i="4" l="1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F31" i="4"/>
  <c r="G31" i="4" s="1"/>
  <c r="F32" i="4"/>
  <c r="G32" i="4" s="1"/>
  <c r="F33" i="4"/>
  <c r="G33" i="4" s="1"/>
  <c r="F34" i="4"/>
  <c r="G34" i="4" s="1"/>
  <c r="F35" i="4"/>
  <c r="G35" i="4" s="1"/>
  <c r="G30" i="4"/>
  <c r="F36" i="4"/>
  <c r="G36" i="4" s="1"/>
  <c r="F37" i="4"/>
  <c r="G37" i="4" s="1"/>
  <c r="G22" i="4" l="1"/>
</calcChain>
</file>

<file path=xl/sharedStrings.xml><?xml version="1.0" encoding="utf-8"?>
<sst xmlns="http://schemas.openxmlformats.org/spreadsheetml/2006/main" count="1086" uniqueCount="215">
  <si>
    <t>ADD</t>
  </si>
  <si>
    <t>SHL</t>
  </si>
  <si>
    <t>SHR</t>
  </si>
  <si>
    <t>NOT</t>
  </si>
  <si>
    <t>AND</t>
  </si>
  <si>
    <t>OR</t>
  </si>
  <si>
    <t>XOR</t>
  </si>
  <si>
    <t>CMP</t>
  </si>
  <si>
    <t>R0</t>
  </si>
  <si>
    <t>R1</t>
  </si>
  <si>
    <t>R2</t>
  </si>
  <si>
    <t>R3</t>
  </si>
  <si>
    <t>ASSEMBLEY LANGUAGE</t>
  </si>
  <si>
    <t>OPCODE</t>
  </si>
  <si>
    <t>LD</t>
  </si>
  <si>
    <t>0000</t>
  </si>
  <si>
    <t>0001</t>
  </si>
  <si>
    <t>ST</t>
  </si>
  <si>
    <t>LOAD FROM RAM ADDRESS IN RA TO REGISTER RB</t>
  </si>
  <si>
    <t>DESCRIPTION</t>
  </si>
  <si>
    <t>STORE RB TO RAM ADDRESS IN RA</t>
  </si>
  <si>
    <t>ADD RA,RB</t>
  </si>
  <si>
    <t>ADD RA AND RB AND PUT IN RB</t>
  </si>
  <si>
    <t>AND RA AND PUT ANSWER IN RB</t>
  </si>
  <si>
    <t>NOT RA AND PUT ANSWER IN RB</t>
  </si>
  <si>
    <t>SHIFT RA RIGHT AND PUT ANSWER IN RB</t>
  </si>
  <si>
    <t>SHIFT RA LEFT AND PUT ANSWER IN RB</t>
  </si>
  <si>
    <t>OR RA AND PUT ANSWER IN RB</t>
  </si>
  <si>
    <t>XOR RA AND PUT ANSWER IN RB</t>
  </si>
  <si>
    <t>COMPARE RA AND RB</t>
  </si>
  <si>
    <t>REGISTER R0</t>
  </si>
  <si>
    <t>REGISTER R1</t>
  </si>
  <si>
    <t>REGISTER R2</t>
  </si>
  <si>
    <t>REGISTER R3</t>
  </si>
  <si>
    <t>DATA</t>
  </si>
  <si>
    <t>LOAD 8 BITS IN NEXT ADDRESS INTO RB</t>
  </si>
  <si>
    <t>JMPR</t>
  </si>
  <si>
    <t>JUMP TO ADDRESS RB</t>
  </si>
  <si>
    <t>JMP</t>
  </si>
  <si>
    <t>JUMP TO ADDRESS IN NEXT BYTE</t>
  </si>
  <si>
    <t>JZ</t>
  </si>
  <si>
    <t>JUMP IF ANSWER IS ZERO</t>
  </si>
  <si>
    <t>01010010</t>
  </si>
  <si>
    <t>JE</t>
  </si>
  <si>
    <t>JUMP IF A EQAULS B</t>
  </si>
  <si>
    <t>JA</t>
  </si>
  <si>
    <t>01010100</t>
  </si>
  <si>
    <t>JC</t>
  </si>
  <si>
    <t>01011000</t>
  </si>
  <si>
    <t>JUMP IF CARRY IS ON</t>
  </si>
  <si>
    <t>JCA</t>
  </si>
  <si>
    <t>JCE</t>
  </si>
  <si>
    <t>JCZ</t>
  </si>
  <si>
    <t>JAE</t>
  </si>
  <si>
    <t>JAZ</t>
  </si>
  <si>
    <t>JEZ</t>
  </si>
  <si>
    <t>JCAE</t>
  </si>
  <si>
    <t>JCEZ</t>
  </si>
  <si>
    <t>JAEZ</t>
  </si>
  <si>
    <t>JCAEZ</t>
  </si>
  <si>
    <t>JUMP IF CARRY OR A LARGER</t>
  </si>
  <si>
    <t>JUMP IF CARRY OR A EQUAL B</t>
  </si>
  <si>
    <t>JUMP IF CARRY OR ANSWER IS ZERO</t>
  </si>
  <si>
    <t>JUMP IF A IS LARGER OR ANSWER IS ZERO</t>
  </si>
  <si>
    <t>JUMP IF A EQAULS B OR ANSWER IS ZERO</t>
  </si>
  <si>
    <t>JUMP IF CARRY OR A LARGER OREQUAL TO B</t>
  </si>
  <si>
    <t>JUMP IF CARRY OR A LARGER OR EQUAL OR ZERO</t>
  </si>
  <si>
    <t>JUMP IF A IS LARGER THAN B</t>
  </si>
  <si>
    <t>CLF</t>
  </si>
  <si>
    <t>CLEAR ALL FLAGS</t>
  </si>
  <si>
    <t>EXAMPLE</t>
  </si>
  <si>
    <t>SHL RA,RB</t>
  </si>
  <si>
    <t>SHR RA,RB</t>
  </si>
  <si>
    <t>NOT RA.RB</t>
  </si>
  <si>
    <t>AND RA,RB</t>
  </si>
  <si>
    <t>OR RA,RB</t>
  </si>
  <si>
    <t>XOR RA,RB</t>
  </si>
  <si>
    <t>CMP RA,RB</t>
  </si>
  <si>
    <t>LD RA,RB</t>
  </si>
  <si>
    <t>ST RA,RB</t>
  </si>
  <si>
    <t>JMPR RB</t>
  </si>
  <si>
    <t>DATA RB,Addr</t>
  </si>
  <si>
    <t>JMP Addr</t>
  </si>
  <si>
    <t>JZ Addr</t>
  </si>
  <si>
    <t>JE Addr</t>
  </si>
  <si>
    <t>JA Addr</t>
  </si>
  <si>
    <t>JC Addr</t>
  </si>
  <si>
    <t>JCA Addr</t>
  </si>
  <si>
    <t>JCE Addr</t>
  </si>
  <si>
    <t>JCZ Addr</t>
  </si>
  <si>
    <t>JAE Addr</t>
  </si>
  <si>
    <t>JAZ Addr</t>
  </si>
  <si>
    <t>JEZ Addr</t>
  </si>
  <si>
    <t>JCAE Addr</t>
  </si>
  <si>
    <t>JCEZ Addr</t>
  </si>
  <si>
    <t>JAEZ Addr</t>
  </si>
  <si>
    <t>JCAEZ Addr</t>
  </si>
  <si>
    <t>01100000</t>
  </si>
  <si>
    <t>00</t>
  </si>
  <si>
    <t>01</t>
  </si>
  <si>
    <t>IND</t>
  </si>
  <si>
    <t>INA</t>
  </si>
  <si>
    <t>OUTD</t>
  </si>
  <si>
    <t>OUTA</t>
  </si>
  <si>
    <t>INPUT I/O DATA TO RB</t>
  </si>
  <si>
    <t>INPUT I/O ADDRESS TO RB</t>
  </si>
  <si>
    <t>OUTPUT I/O DATA TO RB</t>
  </si>
  <si>
    <t>OUTPUT I/O ADDRESS TO RB</t>
  </si>
  <si>
    <t>IN DATA,RB</t>
  </si>
  <si>
    <t>IN Addr,RB</t>
  </si>
  <si>
    <t>OUT DATA,RB</t>
  </si>
  <si>
    <t>OUT Addr,RB</t>
  </si>
  <si>
    <t>0010</t>
  </si>
  <si>
    <t>RA</t>
  </si>
  <si>
    <t>RB</t>
  </si>
  <si>
    <t>10</t>
  </si>
  <si>
    <t>11</t>
  </si>
  <si>
    <t>BYTE</t>
  </si>
  <si>
    <t>CODE</t>
  </si>
  <si>
    <t>MCODE</t>
  </si>
  <si>
    <t>BYTES</t>
  </si>
  <si>
    <t>RAM</t>
  </si>
  <si>
    <t>JCAZ</t>
  </si>
  <si>
    <t>JUMP IF CARRY OR A LARGER OR ZERO</t>
  </si>
  <si>
    <t>JCAZ Addr</t>
  </si>
  <si>
    <t>JUMP IF CARRY ORA EQUALS B OR ZERO</t>
  </si>
  <si>
    <t>JUMP IF A LARGER OR EQUAL TO B OR ZERO</t>
  </si>
  <si>
    <t>01011100</t>
  </si>
  <si>
    <t>01011010</t>
  </si>
  <si>
    <t>01011001</t>
  </si>
  <si>
    <t>01010110</t>
  </si>
  <si>
    <t>01010101</t>
  </si>
  <si>
    <t>01010011</t>
  </si>
  <si>
    <t>01011110</t>
  </si>
  <si>
    <t>01011101</t>
  </si>
  <si>
    <t>01011011</t>
  </si>
  <si>
    <t>01010111</t>
  </si>
  <si>
    <t>01011111</t>
  </si>
  <si>
    <t>01010001</t>
  </si>
  <si>
    <t>MCODE_TEST</t>
  </si>
  <si>
    <t>MCODE_1</t>
  </si>
  <si>
    <t/>
  </si>
  <si>
    <t>v2.0 raw</t>
  </si>
  <si>
    <t>MACHINE CODE</t>
  </si>
  <si>
    <t>FILE TO LOGISIM</t>
  </si>
  <si>
    <t>END</t>
  </si>
  <si>
    <t>JUMP IF A IS LARGER OR EQUAL TO B</t>
  </si>
  <si>
    <t>00000001</t>
  </si>
  <si>
    <t>00000101</t>
  </si>
  <si>
    <t>00001100</t>
  </si>
  <si>
    <t>00001111</t>
  </si>
  <si>
    <t>00010111</t>
  </si>
  <si>
    <t>00100000</t>
  </si>
  <si>
    <t>00100001</t>
  </si>
  <si>
    <t>0100</t>
  </si>
  <si>
    <t>ADD RA , RB</t>
  </si>
  <si>
    <t>SHL RA , RB</t>
  </si>
  <si>
    <t>SHR RA , RB</t>
  </si>
  <si>
    <t>NOT RA ,RB</t>
  </si>
  <si>
    <t>AND RA , RB</t>
  </si>
  <si>
    <t>OR RA , RB</t>
  </si>
  <si>
    <t>XOR RA , RB</t>
  </si>
  <si>
    <t>CMP RA , RB</t>
  </si>
  <si>
    <t>LD RA , RB</t>
  </si>
  <si>
    <t>ST RA , RB</t>
  </si>
  <si>
    <t>DATA RB , Addr</t>
  </si>
  <si>
    <t>ACC</t>
  </si>
  <si>
    <t>IAR</t>
  </si>
  <si>
    <t>IR</t>
  </si>
  <si>
    <t>TMP</t>
  </si>
  <si>
    <t>Co</t>
  </si>
  <si>
    <t>Ci</t>
  </si>
  <si>
    <t>A</t>
  </si>
  <si>
    <t>E</t>
  </si>
  <si>
    <t>Z</t>
  </si>
  <si>
    <t>Registers</t>
  </si>
  <si>
    <t>B</t>
  </si>
  <si>
    <t>ALU</t>
  </si>
  <si>
    <t>BUS 1</t>
  </si>
  <si>
    <t>ABIG</t>
  </si>
  <si>
    <t>Decimal</t>
  </si>
  <si>
    <t>DECIMAL</t>
  </si>
  <si>
    <t>MEMORY</t>
  </si>
  <si>
    <t>HEX</t>
  </si>
  <si>
    <t>00000111</t>
  </si>
  <si>
    <t>Notes</t>
  </si>
  <si>
    <t>You must jump to beginning of an instruction. You cannot jump to the data byte off an instruction</t>
  </si>
  <si>
    <t>00001101</t>
  </si>
  <si>
    <t>00010110</t>
  </si>
  <si>
    <t>A&gt;B</t>
  </si>
  <si>
    <t>A=B</t>
  </si>
  <si>
    <t>REGISTERS</t>
  </si>
  <si>
    <t>FLAGS</t>
  </si>
  <si>
    <t>STEP</t>
  </si>
  <si>
    <t>00100010</t>
  </si>
  <si>
    <t>Fibonacci</t>
  </si>
  <si>
    <t>Multiply</t>
  </si>
  <si>
    <t>ASSEBLY LANGUAGE PROGRAM</t>
  </si>
  <si>
    <t>INSTRUCTION BINARY</t>
  </si>
  <si>
    <t>INSTRUCTION HEX</t>
  </si>
  <si>
    <t>INSTRUCTION DECIMAL</t>
  </si>
  <si>
    <t>LINE</t>
  </si>
  <si>
    <t>00100011</t>
  </si>
  <si>
    <t>MAR</t>
  </si>
  <si>
    <t>BINARY</t>
  </si>
  <si>
    <t>00011101</t>
  </si>
  <si>
    <t>01000000</t>
  </si>
  <si>
    <t>00000000</t>
  </si>
  <si>
    <t>00010001</t>
  </si>
  <si>
    <t>00011000</t>
  </si>
  <si>
    <t>10000100</t>
  </si>
  <si>
    <t>00001000</t>
  </si>
  <si>
    <t>00001001</t>
  </si>
  <si>
    <t>00010011</t>
  </si>
  <si>
    <t xml:space="preserve">Series in R1 IN HEX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</si>
</sst>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"/>
    <numFmt numFmtId="165" formatCode="00000000"/>
    <numFmt numFmtId="166" formatCode="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rgb="FF252C2F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2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2" borderId="1" xfId="0" applyNumberFormat="1" applyFill="1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164" fontId="0" fillId="0" borderId="0" xfId="0" applyNumberFormat="1" applyAlignment="1">
      <alignment horizontal="left"/>
    </xf>
    <xf numFmtId="165" fontId="0" fillId="2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" xfId="0" quotePrefix="1" applyNumberFormat="1" applyBorder="1" applyAlignment="1">
      <alignment horizontal="left"/>
    </xf>
    <xf numFmtId="165" fontId="0" fillId="3" borderId="1" xfId="0" applyNumberFormat="1" applyFill="1" applyBorder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0" borderId="1" xfId="0" quotePrefix="1" applyNumberFormat="1" applyBorder="1" applyAlignment="1">
      <alignment horizontal="left"/>
    </xf>
    <xf numFmtId="164" fontId="0" fillId="0" borderId="1" xfId="0" quotePrefix="1" applyNumberFormat="1" applyBorder="1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164" fontId="0" fillId="4" borderId="1" xfId="0" quotePrefix="1" applyNumberFormat="1" applyFill="1" applyBorder="1" applyAlignment="1">
      <alignment horizontal="left"/>
    </xf>
    <xf numFmtId="166" fontId="0" fillId="4" borderId="1" xfId="0" applyNumberFormat="1" applyFill="1" applyBorder="1" applyAlignment="1">
      <alignment horizontal="left"/>
    </xf>
    <xf numFmtId="0" fontId="0" fillId="2" borderId="1" xfId="0" applyFill="1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1" xfId="0" applyBorder="1" applyAlignment="1" applyProtection="1">
      <alignment horizontal="left"/>
    </xf>
    <xf numFmtId="49" fontId="0" fillId="3" borderId="0" xfId="0" applyNumberFormat="1" applyFill="1" applyBorder="1" applyAlignment="1">
      <alignment horizontal="left"/>
    </xf>
    <xf numFmtId="0" fontId="0" fillId="2" borderId="2" xfId="0" applyFill="1" applyBorder="1" applyAlignment="1" applyProtection="1">
      <alignment horizontal="left"/>
    </xf>
    <xf numFmtId="0" fontId="0" fillId="2" borderId="2" xfId="0" applyFill="1" applyBorder="1" applyAlignment="1" applyProtection="1">
      <alignment horizontal="left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/>
    </xf>
    <xf numFmtId="0" fontId="0" fillId="0" borderId="2" xfId="0" applyNumberFormat="1" applyBorder="1" applyAlignment="1">
      <alignment horizontal="left"/>
    </xf>
    <xf numFmtId="165" fontId="0" fillId="3" borderId="2" xfId="0" applyNumberFormat="1" applyFill="1" applyBorder="1" applyAlignment="1">
      <alignment horizontal="left"/>
    </xf>
    <xf numFmtId="164" fontId="0" fillId="0" borderId="2" xfId="0" quotePrefix="1" applyNumberFormat="1" applyBorder="1" applyAlignment="1">
      <alignment horizontal="left"/>
    </xf>
    <xf numFmtId="164" fontId="0" fillId="4" borderId="2" xfId="0" quotePrefix="1" applyNumberFormat="1" applyFill="1" applyBorder="1" applyAlignment="1">
      <alignment horizontal="left"/>
    </xf>
    <xf numFmtId="0" fontId="0" fillId="0" borderId="0" xfId="0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  <protection locked="0"/>
    </xf>
    <xf numFmtId="49" fontId="0" fillId="3" borderId="0" xfId="0" applyNumberFormat="1" applyFill="1" applyBorder="1" applyAlignment="1" applyProtection="1">
      <alignment horizontal="left"/>
      <protection locked="0"/>
    </xf>
    <xf numFmtId="0" fontId="0" fillId="0" borderId="0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2" borderId="1" xfId="0" applyFont="1" applyFill="1" applyBorder="1" applyAlignment="1" applyProtection="1">
      <alignment horizontal="left"/>
    </xf>
    <xf numFmtId="0" fontId="2" fillId="2" borderId="1" xfId="0" applyNumberFormat="1" applyFont="1" applyFill="1" applyBorder="1" applyAlignment="1">
      <alignment horizontal="left"/>
    </xf>
    <xf numFmtId="0" fontId="2" fillId="0" borderId="1" xfId="0" applyFont="1" applyBorder="1" applyAlignment="1" applyProtection="1">
      <alignment horizontal="left"/>
    </xf>
    <xf numFmtId="0" fontId="2" fillId="0" borderId="1" xfId="0" applyNumberFormat="1" applyFont="1" applyBorder="1" applyAlignment="1">
      <alignment horizontal="left"/>
    </xf>
    <xf numFmtId="0" fontId="2" fillId="0" borderId="1" xfId="0" quotePrefix="1" applyNumberFormat="1" applyFont="1" applyBorder="1" applyAlignment="1">
      <alignment horizontal="left"/>
    </xf>
    <xf numFmtId="49" fontId="2" fillId="0" borderId="1" xfId="0" quotePrefix="1" applyNumberFormat="1" applyFont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2" borderId="1" xfId="0" applyFill="1" applyBorder="1"/>
    <xf numFmtId="165" fontId="0" fillId="0" borderId="0" xfId="0" applyNumberFormat="1"/>
    <xf numFmtId="0" fontId="3" fillId="0" borderId="0" xfId="0" applyFont="1"/>
    <xf numFmtId="0" fontId="0" fillId="3" borderId="1" xfId="0" applyFill="1" applyBorder="1" applyAlignment="1"/>
    <xf numFmtId="0" fontId="0" fillId="3" borderId="1" xfId="0" applyFill="1" applyBorder="1"/>
    <xf numFmtId="0" fontId="0" fillId="0" borderId="0" xfId="0" applyBorder="1"/>
    <xf numFmtId="0" fontId="0" fillId="5" borderId="1" xfId="0" applyFill="1" applyBorder="1" applyAlignment="1"/>
    <xf numFmtId="165" fontId="0" fillId="2" borderId="1" xfId="0" applyNumberFormat="1" applyFill="1" applyBorder="1"/>
    <xf numFmtId="0" fontId="0" fillId="0" borderId="0" xfId="0" applyBorder="1" applyAlignment="1"/>
    <xf numFmtId="0" fontId="0" fillId="0" borderId="1" xfId="0" applyBorder="1"/>
    <xf numFmtId="49" fontId="0" fillId="6" borderId="1" xfId="0" applyNumberFormat="1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6" borderId="1" xfId="0" applyFill="1" applyBorder="1" applyAlignment="1" applyProtection="1">
      <alignment horizontal="left"/>
      <protection locked="0"/>
    </xf>
    <xf numFmtId="49" fontId="0" fillId="6" borderId="1" xfId="0" applyNumberFormat="1" applyFill="1" applyBorder="1" applyAlignment="1" applyProtection="1">
      <alignment horizontal="left"/>
      <protection locked="0"/>
    </xf>
    <xf numFmtId="0" fontId="0" fillId="5" borderId="1" xfId="0" applyFill="1" applyBorder="1" applyAlignment="1" applyProtection="1">
      <alignment horizontal="left"/>
    </xf>
    <xf numFmtId="0" fontId="0" fillId="5" borderId="1" xfId="0" applyFill="1" applyBorder="1" applyAlignment="1">
      <alignment horizontal="left"/>
    </xf>
    <xf numFmtId="49" fontId="0" fillId="5" borderId="1" xfId="0" applyNumberFormat="1" applyFill="1" applyBorder="1" applyAlignment="1">
      <alignment horizontal="left"/>
    </xf>
    <xf numFmtId="165" fontId="0" fillId="5" borderId="1" xfId="0" applyNumberFormat="1" applyFill="1" applyBorder="1"/>
    <xf numFmtId="0" fontId="4" fillId="0" borderId="0" xfId="0" applyFont="1"/>
    <xf numFmtId="0" fontId="0" fillId="3" borderId="1" xfId="0" applyFill="1" applyBorder="1" applyAlignment="1">
      <alignment horizontal="left"/>
    </xf>
    <xf numFmtId="0" fontId="0" fillId="3" borderId="1" xfId="0" applyNumberFormat="1" applyFill="1" applyBorder="1" applyAlignment="1">
      <alignment horizontal="left"/>
    </xf>
    <xf numFmtId="0" fontId="0" fillId="6" borderId="1" xfId="0" applyFill="1" applyBorder="1" applyAlignment="1" applyProtection="1">
      <alignment horizontal="left"/>
    </xf>
    <xf numFmtId="165" fontId="0" fillId="6" borderId="1" xfId="0" applyNumberForma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0" fillId="5" borderId="1" xfId="0" applyNumberFormat="1" applyFill="1" applyBorder="1" applyAlignment="1">
      <alignment horizontal="left"/>
    </xf>
    <xf numFmtId="165" fontId="0" fillId="4" borderId="1" xfId="0" applyNumberForma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4" borderId="1" xfId="0" applyNumberFormat="1" applyFill="1" applyBorder="1" applyAlignment="1">
      <alignment horizontal="left"/>
    </xf>
    <xf numFmtId="165" fontId="0" fillId="6" borderId="1" xfId="0" applyNumberFormat="1" applyFill="1" applyBorder="1" applyAlignment="1" applyProtection="1">
      <alignment horizontal="left"/>
      <protection locked="0"/>
    </xf>
    <xf numFmtId="165" fontId="0" fillId="2" borderId="1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5" fontId="0" fillId="4" borderId="2" xfId="0" applyNumberFormat="1" applyFill="1" applyBorder="1" applyAlignment="1">
      <alignment horizontal="left"/>
    </xf>
    <xf numFmtId="165" fontId="0" fillId="2" borderId="1" xfId="0" applyNumberFormat="1" applyFill="1" applyBorder="1" applyAlignment="1" applyProtection="1">
      <alignment horizontal="left"/>
    </xf>
    <xf numFmtId="165" fontId="0" fillId="0" borderId="1" xfId="0" applyNumberFormat="1" applyBorder="1" applyAlignment="1" applyProtection="1">
      <alignment horizontal="left"/>
    </xf>
    <xf numFmtId="165" fontId="0" fillId="0" borderId="2" xfId="0" applyNumberFormat="1" applyBorder="1" applyAlignment="1" applyProtection="1">
      <alignment horizontal="left"/>
    </xf>
    <xf numFmtId="165" fontId="0" fillId="0" borderId="0" xfId="0" applyNumberFormat="1" applyBorder="1" applyAlignment="1" applyProtection="1">
      <alignment horizontal="left"/>
    </xf>
    <xf numFmtId="165" fontId="0" fillId="0" borderId="0" xfId="0" applyNumberFormat="1" applyAlignment="1" applyProtection="1">
      <alignment horizontal="left"/>
    </xf>
    <xf numFmtId="49" fontId="0" fillId="3" borderId="1" xfId="0" applyNumberFormat="1" applyFill="1" applyBorder="1" applyAlignment="1">
      <alignment horizontal="left"/>
    </xf>
    <xf numFmtId="0" fontId="0" fillId="3" borderId="1" xfId="0" applyFill="1" applyBorder="1" applyAlignment="1" applyProtection="1">
      <alignment horizontal="left"/>
      <protection locked="0"/>
    </xf>
    <xf numFmtId="49" fontId="0" fillId="3" borderId="1" xfId="0" applyNumberFormat="1" applyFill="1" applyBorder="1" applyAlignment="1" applyProtection="1">
      <alignment horizontal="left"/>
      <protection locked="0"/>
    </xf>
    <xf numFmtId="165" fontId="0" fillId="3" borderId="1" xfId="0" applyNumberFormat="1" applyFill="1" applyBorder="1" applyAlignment="1" applyProtection="1">
      <alignment horizontal="left"/>
      <protection locked="0"/>
    </xf>
    <xf numFmtId="0" fontId="0" fillId="7" borderId="1" xfId="0" applyFill="1" applyBorder="1" applyAlignment="1">
      <alignment horizontal="left"/>
    </xf>
    <xf numFmtId="49" fontId="0" fillId="7" borderId="1" xfId="0" applyNumberFormat="1" applyFill="1" applyBorder="1" applyAlignment="1">
      <alignment horizontal="left"/>
    </xf>
    <xf numFmtId="165" fontId="0" fillId="7" borderId="1" xfId="0" applyNumberFormat="1" applyFill="1" applyBorder="1" applyAlignment="1">
      <alignment horizontal="left"/>
    </xf>
    <xf numFmtId="0" fontId="0" fillId="7" borderId="1" xfId="0" applyFill="1" applyBorder="1" applyAlignment="1" applyProtection="1">
      <alignment horizontal="left"/>
      <protection locked="0"/>
    </xf>
    <xf numFmtId="49" fontId="0" fillId="7" borderId="1" xfId="0" applyNumberFormat="1" applyFill="1" applyBorder="1" applyAlignment="1" applyProtection="1">
      <alignment horizontal="left"/>
      <protection locked="0"/>
    </xf>
    <xf numFmtId="165" fontId="0" fillId="7" borderId="1" xfId="0" applyNumberFormat="1" applyFill="1" applyBorder="1" applyAlignment="1" applyProtection="1">
      <alignment horizontal="left"/>
      <protection locked="0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49" fontId="0" fillId="5" borderId="1" xfId="0" applyNumberFormat="1" applyFill="1" applyBorder="1" applyAlignment="1">
      <alignment horizontal="left"/>
    </xf>
    <xf numFmtId="165" fontId="0" fillId="5" borderId="1" xfId="0" applyNumberForma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0</xdr:rowOff>
        </xdr:from>
        <xdr:to>
          <xdr:col>25</xdr:col>
          <xdr:colOff>628650</xdr:colOff>
          <xdr:row>1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24</xdr:row>
          <xdr:rowOff>28575</xdr:rowOff>
        </xdr:from>
        <xdr:to>
          <xdr:col>29</xdr:col>
          <xdr:colOff>228600</xdr:colOff>
          <xdr:row>26</xdr:row>
          <xdr:rowOff>38100</xdr:rowOff>
        </xdr:to>
        <xdr:sp macro="" textlink="">
          <xdr:nvSpPr>
            <xdr:cNvPr id="2049" name="G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9525</xdr:rowOff>
        </xdr:from>
        <xdr:to>
          <xdr:col>29</xdr:col>
          <xdr:colOff>228600</xdr:colOff>
          <xdr:row>24</xdr:row>
          <xdr:rowOff>28575</xdr:rowOff>
        </xdr:to>
        <xdr:sp macro="" textlink="">
          <xdr:nvSpPr>
            <xdr:cNvPr id="2050" name="Load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20</xdr:row>
          <xdr:rowOff>9525</xdr:rowOff>
        </xdr:from>
        <xdr:to>
          <xdr:col>29</xdr:col>
          <xdr:colOff>228600</xdr:colOff>
          <xdr:row>22</xdr:row>
          <xdr:rowOff>28575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13"/>
  <sheetViews>
    <sheetView zoomScale="71" zoomScaleNormal="71" workbookViewId="0">
      <selection activeCell="B2" sqref="B2:E273"/>
    </sheetView>
  </sheetViews>
  <sheetFormatPr defaultRowHeight="15" x14ac:dyDescent="0.25"/>
  <cols>
    <col min="1" max="1" width="6.140625" style="23" customWidth="1"/>
    <col min="2" max="2" width="10.28515625" style="2" customWidth="1"/>
    <col min="3" max="3" width="5.28515625" style="12" customWidth="1"/>
    <col min="4" max="4" width="5.7109375" style="12" customWidth="1"/>
    <col min="5" max="5" width="11.5703125" style="12" customWidth="1"/>
    <col min="6" max="6" width="21.5703125" style="23" hidden="1" customWidth="1"/>
    <col min="7" max="7" width="9" style="5" hidden="1" customWidth="1"/>
    <col min="8" max="8" width="11" style="12" hidden="1" customWidth="1"/>
    <col min="9" max="10" width="5.85546875" style="5" hidden="1" customWidth="1"/>
    <col min="11" max="11" width="13.140625" style="15" hidden="1" customWidth="1"/>
    <col min="12" max="12" width="9.5703125" style="8" hidden="1" customWidth="1"/>
    <col min="13" max="13" width="10.5703125" style="8" bestFit="1" customWidth="1"/>
    <col min="14" max="14" width="9" style="2" bestFit="1" customWidth="1"/>
    <col min="15" max="15" width="54.5703125" style="23" hidden="1" customWidth="1"/>
    <col min="16" max="16" width="13.5703125" style="23" hidden="1" customWidth="1"/>
    <col min="17" max="17" width="11.42578125" style="8" hidden="1" customWidth="1"/>
    <col min="18" max="18" width="11.42578125" style="10" hidden="1" customWidth="1"/>
    <col min="19" max="19" width="11.42578125" style="2" hidden="1" customWidth="1"/>
    <col min="20" max="20" width="11" style="2" hidden="1" customWidth="1"/>
    <col min="21" max="21" width="16.42578125" style="12" bestFit="1" customWidth="1"/>
    <col min="22" max="22" width="17.42578125" style="96" hidden="1" customWidth="1"/>
    <col min="23" max="23" width="17.42578125" style="2" customWidth="1"/>
    <col min="24" max="24" width="39.28515625" style="2" hidden="1" customWidth="1"/>
    <col min="25" max="25" width="9.140625" style="2"/>
    <col min="26" max="26" width="14.7109375" style="2" customWidth="1"/>
    <col min="27" max="16384" width="9.140625" style="2"/>
  </cols>
  <sheetData>
    <row r="1" spans="1:26" x14ac:dyDescent="0.25">
      <c r="A1" s="22" t="s">
        <v>121</v>
      </c>
      <c r="B1" s="1" t="s">
        <v>13</v>
      </c>
      <c r="C1" s="11" t="s">
        <v>113</v>
      </c>
      <c r="D1" s="11" t="s">
        <v>114</v>
      </c>
      <c r="E1" s="11" t="s">
        <v>117</v>
      </c>
      <c r="F1" s="22" t="s">
        <v>12</v>
      </c>
      <c r="G1" s="6" t="s">
        <v>13</v>
      </c>
      <c r="H1" s="11" t="s">
        <v>118</v>
      </c>
      <c r="I1" s="6" t="s">
        <v>118</v>
      </c>
      <c r="J1" s="6" t="s">
        <v>118</v>
      </c>
      <c r="K1" s="9" t="s">
        <v>139</v>
      </c>
      <c r="L1" s="7" t="s">
        <v>140</v>
      </c>
      <c r="M1" s="7" t="s">
        <v>119</v>
      </c>
      <c r="N1" s="1" t="s">
        <v>120</v>
      </c>
      <c r="O1" s="22" t="s">
        <v>19</v>
      </c>
      <c r="P1" s="22" t="s">
        <v>70</v>
      </c>
      <c r="U1" s="11" t="s">
        <v>143</v>
      </c>
      <c r="V1" s="92" t="s">
        <v>144</v>
      </c>
      <c r="W1" s="45" t="s">
        <v>144</v>
      </c>
      <c r="X1" s="45" t="s">
        <v>181</v>
      </c>
    </row>
    <row r="2" spans="1:26" x14ac:dyDescent="0.25">
      <c r="A2" s="22">
        <v>0</v>
      </c>
      <c r="B2" s="68" t="s">
        <v>34</v>
      </c>
      <c r="C2" s="67"/>
      <c r="D2" s="67" t="s">
        <v>8</v>
      </c>
      <c r="E2" s="9" t="s">
        <v>207</v>
      </c>
      <c r="F2" s="24" t="s">
        <v>0</v>
      </c>
      <c r="G2" s="4">
        <v>1000</v>
      </c>
      <c r="H2" s="4" t="str">
        <f>VLOOKUP(B2,$F$2:$G$39,2,FALSE)</f>
        <v>0010</v>
      </c>
      <c r="I2" s="4" t="str">
        <f>IF(ISERROR(VLOOKUP(C2,F:G,2,FALSE)),"00",(VLOOKUP(C2,F:G,2,FALSE)))</f>
        <v>00</v>
      </c>
      <c r="J2" s="4" t="str">
        <f>IF(ISERROR(VLOOKUP(D2,F:G,2,FALSE)),"00",(VLOOKUP(D2,F:G,2,FALSE)))</f>
        <v>00</v>
      </c>
      <c r="K2" s="14" t="str">
        <f>CONCATENATE(H2,I2,J2)</f>
        <v>00100000</v>
      </c>
      <c r="L2" s="17" t="str">
        <f>IF(LEN(K2)&gt;8,H2,K2)</f>
        <v>00100000</v>
      </c>
      <c r="M2" s="20" t="str">
        <f>IF(ISERROR(VLOOKUP(L2,L:L,1,FALSE)),"",(VLOOKUP(L2,L:L,1,FALSE)))</f>
        <v>00100000</v>
      </c>
      <c r="N2" s="21" t="str">
        <f>IF(ISERROR(VLOOKUP(E2,E:E,1,FALSE)),"",(VLOOKUP(E2,E:E,1,FALSE)))</f>
        <v>00000000</v>
      </c>
      <c r="O2" s="24" t="s">
        <v>22</v>
      </c>
      <c r="P2" s="24" t="s">
        <v>21</v>
      </c>
      <c r="T2" s="2" t="s">
        <v>152</v>
      </c>
      <c r="U2" s="82">
        <v>100000</v>
      </c>
      <c r="V2" s="93" t="s">
        <v>142</v>
      </c>
      <c r="W2" s="46" t="s">
        <v>142</v>
      </c>
      <c r="Z2" s="48"/>
    </row>
    <row r="3" spans="1:26" x14ac:dyDescent="0.25">
      <c r="A3" s="22">
        <v>1</v>
      </c>
      <c r="B3" s="68" t="s">
        <v>34</v>
      </c>
      <c r="C3" s="67"/>
      <c r="D3" s="67" t="s">
        <v>9</v>
      </c>
      <c r="E3" s="79" t="s">
        <v>147</v>
      </c>
      <c r="F3" s="24" t="s">
        <v>2</v>
      </c>
      <c r="G3" s="4">
        <v>1001</v>
      </c>
      <c r="H3" s="4" t="str">
        <f t="shared" ref="H3:H66" si="0">VLOOKUP(B3,$F$2:$G$39,2,FALSE)</f>
        <v>0010</v>
      </c>
      <c r="I3" s="4" t="str">
        <f t="shared" ref="I3:I66" si="1">IF(ISERROR(VLOOKUP(C3,F:G,2,FALSE)),"00",(VLOOKUP(C3,F:G,2,FALSE)))</f>
        <v>00</v>
      </c>
      <c r="J3" s="4" t="str">
        <f t="shared" ref="J3:J66" si="2">IF(ISERROR(VLOOKUP(D3,F:G,2,FALSE)),"00",(VLOOKUP(D3,F:G,2,FALSE)))</f>
        <v>01</v>
      </c>
      <c r="K3" s="14" t="str">
        <f t="shared" ref="K3:K67" si="3">CONCATENATE(H3,I3,J3)</f>
        <v>00100001</v>
      </c>
      <c r="L3" s="17" t="str">
        <f t="shared" ref="L3:L66" si="4">IF(LEN(K3)&gt;8,H3,K3)</f>
        <v>00100001</v>
      </c>
      <c r="M3" s="20" t="str">
        <f t="shared" ref="M3:M66" si="5">IF(ISERROR(VLOOKUP(L3,L:L,1,FALSE)),"",(VLOOKUP(L3,L:L,1,FALSE)))</f>
        <v>00100001</v>
      </c>
      <c r="N3" s="21" t="str">
        <f t="shared" ref="N3:N66" si="6">IF(ISERROR(VLOOKUP(E3,E:E,1,FALSE)),"",(VLOOKUP(E3,E:E,1,FALSE)))</f>
        <v>00000001</v>
      </c>
      <c r="O3" s="24" t="s">
        <v>26</v>
      </c>
      <c r="P3" s="24" t="s">
        <v>71</v>
      </c>
      <c r="T3" s="2" t="s">
        <v>207</v>
      </c>
      <c r="U3" s="82">
        <v>0</v>
      </c>
      <c r="V3" s="93">
        <f>IF(ISERROR(VLOOKUP(U2,U:U,1,FALSE)),"",(VLOOKUP(U2,U:U,1,FALSE)))</f>
        <v>100000</v>
      </c>
      <c r="W3" s="47">
        <v>20</v>
      </c>
      <c r="X3" s="59">
        <f>BIN2DEC(V3)</f>
        <v>32</v>
      </c>
      <c r="Z3" s="48"/>
    </row>
    <row r="4" spans="1:26" x14ac:dyDescent="0.25">
      <c r="A4" s="22">
        <v>2</v>
      </c>
      <c r="B4" s="69" t="s">
        <v>34</v>
      </c>
      <c r="C4" s="70"/>
      <c r="D4" s="70" t="s">
        <v>10</v>
      </c>
      <c r="E4" s="86" t="s">
        <v>213</v>
      </c>
      <c r="F4" s="24" t="s">
        <v>1</v>
      </c>
      <c r="G4" s="4">
        <v>1010</v>
      </c>
      <c r="H4" s="4" t="str">
        <f t="shared" si="0"/>
        <v>0010</v>
      </c>
      <c r="I4" s="4" t="str">
        <f t="shared" si="1"/>
        <v>00</v>
      </c>
      <c r="J4" s="4" t="str">
        <f t="shared" si="2"/>
        <v>10</v>
      </c>
      <c r="K4" s="14" t="str">
        <f t="shared" si="3"/>
        <v>00100010</v>
      </c>
      <c r="L4" s="17" t="str">
        <f t="shared" si="4"/>
        <v>00100010</v>
      </c>
      <c r="M4" s="20" t="str">
        <f t="shared" si="5"/>
        <v>00100010</v>
      </c>
      <c r="N4" s="21" t="str">
        <f t="shared" si="6"/>
        <v>00010011</v>
      </c>
      <c r="O4" s="24" t="s">
        <v>25</v>
      </c>
      <c r="P4" s="24" t="s">
        <v>72</v>
      </c>
      <c r="T4" s="2" t="s">
        <v>153</v>
      </c>
      <c r="U4" s="82">
        <v>100001</v>
      </c>
      <c r="V4" s="93">
        <f t="shared" ref="V4:V67" si="7">IF(ISERROR(VLOOKUP(U3,U:U,1,FALSE)),"",(VLOOKUP(U3,U:U,1,FALSE)))</f>
        <v>0</v>
      </c>
      <c r="W4" s="47" t="str">
        <f t="shared" ref="W4:W67" si="8">BIN2HEX(V4)</f>
        <v>0</v>
      </c>
      <c r="X4" s="59">
        <f t="shared" ref="X4:X67" si="9">BIN2DEC(V4)</f>
        <v>0</v>
      </c>
      <c r="Z4" s="48"/>
    </row>
    <row r="5" spans="1:26" x14ac:dyDescent="0.25">
      <c r="A5" s="22">
        <v>3</v>
      </c>
      <c r="B5" s="69" t="s">
        <v>34</v>
      </c>
      <c r="C5" s="70"/>
      <c r="D5" s="70" t="s">
        <v>11</v>
      </c>
      <c r="E5" s="86">
        <v>10100</v>
      </c>
      <c r="F5" s="24" t="s">
        <v>3</v>
      </c>
      <c r="G5" s="4">
        <v>1011</v>
      </c>
      <c r="H5" s="4" t="str">
        <f t="shared" si="0"/>
        <v>0010</v>
      </c>
      <c r="I5" s="4" t="str">
        <f t="shared" si="1"/>
        <v>00</v>
      </c>
      <c r="J5" s="4" t="str">
        <f t="shared" si="2"/>
        <v>11</v>
      </c>
      <c r="K5" s="14" t="str">
        <f t="shared" si="3"/>
        <v>00100011</v>
      </c>
      <c r="L5" s="17" t="str">
        <f t="shared" si="4"/>
        <v>00100011</v>
      </c>
      <c r="M5" s="20" t="str">
        <f t="shared" si="5"/>
        <v>00100011</v>
      </c>
      <c r="N5" s="21">
        <f t="shared" si="6"/>
        <v>10100</v>
      </c>
      <c r="O5" s="24" t="s">
        <v>24</v>
      </c>
      <c r="P5" s="24" t="s">
        <v>73</v>
      </c>
      <c r="T5" s="2" t="s">
        <v>147</v>
      </c>
      <c r="U5" s="82">
        <v>1</v>
      </c>
      <c r="V5" s="93">
        <f t="shared" si="7"/>
        <v>100001</v>
      </c>
      <c r="W5" s="47" t="str">
        <f t="shared" si="8"/>
        <v>21</v>
      </c>
      <c r="X5" s="59">
        <f t="shared" si="9"/>
        <v>33</v>
      </c>
      <c r="Z5" s="48"/>
    </row>
    <row r="6" spans="1:26" x14ac:dyDescent="0.25">
      <c r="A6" s="22">
        <v>4</v>
      </c>
      <c r="B6" s="69" t="s">
        <v>0</v>
      </c>
      <c r="C6" s="70" t="s">
        <v>9</v>
      </c>
      <c r="D6" s="70" t="s">
        <v>8</v>
      </c>
      <c r="E6" s="86"/>
      <c r="F6" s="24" t="s">
        <v>4</v>
      </c>
      <c r="G6" s="4">
        <v>1100</v>
      </c>
      <c r="H6" s="4">
        <f t="shared" si="0"/>
        <v>1000</v>
      </c>
      <c r="I6" s="4" t="str">
        <f t="shared" si="1"/>
        <v>01</v>
      </c>
      <c r="J6" s="4" t="str">
        <f t="shared" si="2"/>
        <v>00</v>
      </c>
      <c r="K6" s="14" t="str">
        <f t="shared" si="3"/>
        <v>10000100</v>
      </c>
      <c r="L6" s="17" t="str">
        <f t="shared" si="4"/>
        <v>10000100</v>
      </c>
      <c r="M6" s="20" t="str">
        <f t="shared" si="5"/>
        <v>10000100</v>
      </c>
      <c r="N6" s="21" t="str">
        <f t="shared" si="6"/>
        <v/>
      </c>
      <c r="O6" s="24" t="s">
        <v>23</v>
      </c>
      <c r="P6" s="24" t="s">
        <v>74</v>
      </c>
      <c r="T6" s="2" t="s">
        <v>194</v>
      </c>
      <c r="U6" s="82">
        <v>100010</v>
      </c>
      <c r="V6" s="93">
        <f t="shared" si="7"/>
        <v>1</v>
      </c>
      <c r="W6" s="47" t="str">
        <f t="shared" si="8"/>
        <v>1</v>
      </c>
      <c r="X6" s="59">
        <f t="shared" si="9"/>
        <v>1</v>
      </c>
      <c r="Z6" s="48"/>
    </row>
    <row r="7" spans="1:26" x14ac:dyDescent="0.25">
      <c r="A7" s="22">
        <v>5</v>
      </c>
      <c r="B7" s="69" t="s">
        <v>17</v>
      </c>
      <c r="C7" s="70" t="s">
        <v>10</v>
      </c>
      <c r="D7" s="70" t="s">
        <v>8</v>
      </c>
      <c r="E7" s="86"/>
      <c r="F7" s="24" t="s">
        <v>5</v>
      </c>
      <c r="G7" s="4">
        <v>1101</v>
      </c>
      <c r="H7" s="4" t="str">
        <f t="shared" si="0"/>
        <v>0001</v>
      </c>
      <c r="I7" s="4" t="str">
        <f t="shared" si="1"/>
        <v>10</v>
      </c>
      <c r="J7" s="4" t="str">
        <f t="shared" si="2"/>
        <v>00</v>
      </c>
      <c r="K7" s="14" t="str">
        <f t="shared" si="3"/>
        <v>00011000</v>
      </c>
      <c r="L7" s="17" t="str">
        <f t="shared" si="4"/>
        <v>00011000</v>
      </c>
      <c r="M7" s="20" t="str">
        <f t="shared" si="5"/>
        <v>00011000</v>
      </c>
      <c r="N7" s="21" t="str">
        <f t="shared" si="6"/>
        <v/>
      </c>
      <c r="O7" s="24" t="s">
        <v>27</v>
      </c>
      <c r="P7" s="24" t="s">
        <v>75</v>
      </c>
      <c r="T7" s="2" t="s">
        <v>213</v>
      </c>
      <c r="U7" s="82">
        <v>10011</v>
      </c>
      <c r="V7" s="93">
        <f t="shared" si="7"/>
        <v>100010</v>
      </c>
      <c r="W7" s="47" t="str">
        <f t="shared" si="8"/>
        <v>22</v>
      </c>
      <c r="X7" s="59">
        <f t="shared" si="9"/>
        <v>34</v>
      </c>
      <c r="Z7" s="48"/>
    </row>
    <row r="8" spans="1:26" x14ac:dyDescent="0.25">
      <c r="A8" s="22">
        <v>6</v>
      </c>
      <c r="B8" s="69" t="s">
        <v>17</v>
      </c>
      <c r="C8" s="70" t="s">
        <v>11</v>
      </c>
      <c r="D8" s="70" t="s">
        <v>9</v>
      </c>
      <c r="E8" s="86"/>
      <c r="F8" s="24" t="s">
        <v>6</v>
      </c>
      <c r="G8" s="4">
        <v>1110</v>
      </c>
      <c r="H8" s="4" t="str">
        <f t="shared" si="0"/>
        <v>0001</v>
      </c>
      <c r="I8" s="4" t="str">
        <f t="shared" si="1"/>
        <v>11</v>
      </c>
      <c r="J8" s="4" t="str">
        <f t="shared" si="2"/>
        <v>01</v>
      </c>
      <c r="K8" s="14" t="str">
        <f t="shared" si="3"/>
        <v>00011101</v>
      </c>
      <c r="L8" s="17" t="str">
        <f t="shared" si="4"/>
        <v>00011101</v>
      </c>
      <c r="M8" s="20" t="str">
        <f t="shared" si="5"/>
        <v>00011101</v>
      </c>
      <c r="N8" s="21" t="str">
        <f t="shared" si="6"/>
        <v/>
      </c>
      <c r="O8" s="24" t="s">
        <v>28</v>
      </c>
      <c r="P8" s="24" t="s">
        <v>76</v>
      </c>
      <c r="T8" s="2" t="s">
        <v>202</v>
      </c>
      <c r="U8" s="82">
        <v>100011</v>
      </c>
      <c r="V8" s="93">
        <f t="shared" si="7"/>
        <v>10011</v>
      </c>
      <c r="W8" s="47" t="str">
        <f t="shared" si="8"/>
        <v>13</v>
      </c>
      <c r="X8" s="59">
        <f t="shared" si="9"/>
        <v>19</v>
      </c>
      <c r="Z8" s="48"/>
    </row>
    <row r="9" spans="1:26" x14ac:dyDescent="0.25">
      <c r="A9" s="22">
        <v>7</v>
      </c>
      <c r="B9" s="69" t="s">
        <v>14</v>
      </c>
      <c r="C9" s="70" t="s">
        <v>11</v>
      </c>
      <c r="D9" s="70" t="s">
        <v>8</v>
      </c>
      <c r="E9" s="86"/>
      <c r="F9" s="24" t="s">
        <v>7</v>
      </c>
      <c r="G9" s="4">
        <v>1111</v>
      </c>
      <c r="H9" s="4" t="str">
        <f t="shared" si="0"/>
        <v>0000</v>
      </c>
      <c r="I9" s="4" t="str">
        <f t="shared" si="1"/>
        <v>11</v>
      </c>
      <c r="J9" s="4" t="str">
        <f t="shared" si="2"/>
        <v>00</v>
      </c>
      <c r="K9" s="14" t="str">
        <f t="shared" si="3"/>
        <v>00001100</v>
      </c>
      <c r="L9" s="17" t="str">
        <f t="shared" si="4"/>
        <v>00001100</v>
      </c>
      <c r="M9" s="20" t="str">
        <f t="shared" si="5"/>
        <v>00001100</v>
      </c>
      <c r="N9" s="21" t="str">
        <f t="shared" si="6"/>
        <v/>
      </c>
      <c r="O9" s="24" t="s">
        <v>29</v>
      </c>
      <c r="P9" s="24" t="s">
        <v>77</v>
      </c>
      <c r="T9" s="2">
        <v>10100</v>
      </c>
      <c r="U9" s="82">
        <v>10100</v>
      </c>
      <c r="V9" s="93">
        <f t="shared" si="7"/>
        <v>100011</v>
      </c>
      <c r="W9" s="47" t="str">
        <f t="shared" si="8"/>
        <v>23</v>
      </c>
      <c r="X9" s="59">
        <f t="shared" si="9"/>
        <v>35</v>
      </c>
      <c r="Z9" s="48"/>
    </row>
    <row r="10" spans="1:26" x14ac:dyDescent="0.25">
      <c r="A10" s="22">
        <v>8</v>
      </c>
      <c r="B10" s="69" t="s">
        <v>14</v>
      </c>
      <c r="C10" s="70" t="s">
        <v>10</v>
      </c>
      <c r="D10" s="70" t="s">
        <v>9</v>
      </c>
      <c r="E10" s="86"/>
      <c r="F10" s="24" t="s">
        <v>14</v>
      </c>
      <c r="G10" s="4" t="s">
        <v>15</v>
      </c>
      <c r="H10" s="4" t="str">
        <f t="shared" si="0"/>
        <v>0000</v>
      </c>
      <c r="I10" s="4" t="str">
        <f t="shared" si="1"/>
        <v>10</v>
      </c>
      <c r="J10" s="4" t="str">
        <f t="shared" si="2"/>
        <v>01</v>
      </c>
      <c r="K10" s="14" t="str">
        <f t="shared" si="3"/>
        <v>00001001</v>
      </c>
      <c r="L10" s="17" t="str">
        <f t="shared" si="4"/>
        <v>00001001</v>
      </c>
      <c r="M10" s="20" t="str">
        <f t="shared" si="5"/>
        <v>00001001</v>
      </c>
      <c r="N10" s="21" t="str">
        <f t="shared" si="6"/>
        <v/>
      </c>
      <c r="O10" s="24" t="s">
        <v>18</v>
      </c>
      <c r="P10" s="24" t="s">
        <v>78</v>
      </c>
      <c r="T10" s="2" t="s">
        <v>210</v>
      </c>
      <c r="U10" s="82">
        <v>10000100</v>
      </c>
      <c r="V10" s="93">
        <f t="shared" si="7"/>
        <v>10100</v>
      </c>
      <c r="W10" s="47" t="str">
        <f t="shared" si="8"/>
        <v>14</v>
      </c>
      <c r="X10" s="59">
        <f t="shared" si="9"/>
        <v>20</v>
      </c>
      <c r="Z10" s="48"/>
    </row>
    <row r="11" spans="1:26" x14ac:dyDescent="0.25">
      <c r="A11" s="22">
        <v>9</v>
      </c>
      <c r="B11" s="69" t="s">
        <v>47</v>
      </c>
      <c r="C11" s="70"/>
      <c r="D11" s="70"/>
      <c r="E11" s="86" t="s">
        <v>208</v>
      </c>
      <c r="F11" s="24" t="s">
        <v>17</v>
      </c>
      <c r="G11" s="4" t="s">
        <v>16</v>
      </c>
      <c r="H11" s="4" t="str">
        <f t="shared" si="0"/>
        <v>01011000</v>
      </c>
      <c r="I11" s="4" t="str">
        <f t="shared" si="1"/>
        <v>00</v>
      </c>
      <c r="J11" s="4" t="str">
        <f t="shared" si="2"/>
        <v>00</v>
      </c>
      <c r="K11" s="14" t="str">
        <f t="shared" si="3"/>
        <v>010110000000</v>
      </c>
      <c r="L11" s="17" t="str">
        <f>IF(LEN(K11)&gt;8,H11,K11)</f>
        <v>01011000</v>
      </c>
      <c r="M11" s="20" t="str">
        <f t="shared" si="5"/>
        <v>01011000</v>
      </c>
      <c r="N11" s="21" t="str">
        <f t="shared" si="6"/>
        <v>00010001</v>
      </c>
      <c r="O11" s="24" t="s">
        <v>20</v>
      </c>
      <c r="P11" s="24" t="s">
        <v>79</v>
      </c>
      <c r="T11" s="2" t="s">
        <v>141</v>
      </c>
      <c r="U11" s="82">
        <v>11000</v>
      </c>
      <c r="V11" s="93">
        <f t="shared" si="7"/>
        <v>10000100</v>
      </c>
      <c r="W11" s="47" t="str">
        <f t="shared" si="8"/>
        <v>84</v>
      </c>
      <c r="X11" s="59">
        <f t="shared" si="9"/>
        <v>132</v>
      </c>
      <c r="Z11" s="48"/>
    </row>
    <row r="12" spans="1:26" x14ac:dyDescent="0.25">
      <c r="A12" s="22">
        <v>10</v>
      </c>
      <c r="B12" s="69" t="s">
        <v>38</v>
      </c>
      <c r="C12" s="70"/>
      <c r="D12" s="70"/>
      <c r="E12" s="86" t="s">
        <v>211</v>
      </c>
      <c r="F12" s="24" t="s">
        <v>34</v>
      </c>
      <c r="G12" s="16" t="s">
        <v>112</v>
      </c>
      <c r="H12" s="4" t="str">
        <f t="shared" si="0"/>
        <v>0100</v>
      </c>
      <c r="I12" s="4" t="str">
        <f t="shared" si="1"/>
        <v>00</v>
      </c>
      <c r="J12" s="4" t="str">
        <f t="shared" si="2"/>
        <v>00</v>
      </c>
      <c r="K12" s="14" t="str">
        <f t="shared" si="3"/>
        <v>01000000</v>
      </c>
      <c r="L12" s="17" t="str">
        <f t="shared" si="4"/>
        <v>01000000</v>
      </c>
      <c r="M12" s="20" t="str">
        <f t="shared" si="5"/>
        <v>01000000</v>
      </c>
      <c r="N12" s="21" t="str">
        <f t="shared" si="6"/>
        <v>00001000</v>
      </c>
      <c r="O12" s="24" t="s">
        <v>35</v>
      </c>
      <c r="P12" s="24" t="s">
        <v>81</v>
      </c>
      <c r="T12" s="2" t="s">
        <v>209</v>
      </c>
      <c r="U12" s="82">
        <v>11101</v>
      </c>
      <c r="V12" s="93">
        <f t="shared" si="7"/>
        <v>11000</v>
      </c>
      <c r="W12" s="47" t="str">
        <f t="shared" si="8"/>
        <v>18</v>
      </c>
      <c r="X12" s="59">
        <f t="shared" si="9"/>
        <v>24</v>
      </c>
      <c r="Z12" s="48"/>
    </row>
    <row r="13" spans="1:26" x14ac:dyDescent="0.25">
      <c r="A13" s="22">
        <v>11</v>
      </c>
      <c r="B13" s="69" t="s">
        <v>145</v>
      </c>
      <c r="C13" s="70"/>
      <c r="D13" s="70"/>
      <c r="E13" s="86"/>
      <c r="F13" s="24" t="s">
        <v>36</v>
      </c>
      <c r="G13" s="4">
        <v>1100</v>
      </c>
      <c r="H13" s="4">
        <f t="shared" si="0"/>
        <v>11001111</v>
      </c>
      <c r="I13" s="4" t="str">
        <f t="shared" si="1"/>
        <v>00</v>
      </c>
      <c r="J13" s="4" t="str">
        <f t="shared" si="2"/>
        <v>00</v>
      </c>
      <c r="K13" s="14" t="str">
        <f t="shared" si="3"/>
        <v>110011110000</v>
      </c>
      <c r="L13" s="17">
        <f t="shared" si="4"/>
        <v>11001111</v>
      </c>
      <c r="M13" s="20">
        <f t="shared" si="5"/>
        <v>11001111</v>
      </c>
      <c r="N13" s="21" t="str">
        <f t="shared" si="6"/>
        <v/>
      </c>
      <c r="O13" s="24" t="s">
        <v>37</v>
      </c>
      <c r="P13" s="24" t="s">
        <v>80</v>
      </c>
      <c r="T13" s="2" t="s">
        <v>141</v>
      </c>
      <c r="U13" s="82">
        <v>1100</v>
      </c>
      <c r="V13" s="93">
        <f t="shared" si="7"/>
        <v>11101</v>
      </c>
      <c r="W13" s="47" t="str">
        <f t="shared" si="8"/>
        <v>1D</v>
      </c>
      <c r="X13" s="59">
        <f t="shared" si="9"/>
        <v>29</v>
      </c>
      <c r="Z13" s="48"/>
    </row>
    <row r="14" spans="1:26" x14ac:dyDescent="0.25">
      <c r="A14" s="22">
        <v>12</v>
      </c>
      <c r="B14" s="69"/>
      <c r="C14" s="70"/>
      <c r="D14" s="70"/>
      <c r="E14" s="86"/>
      <c r="F14" s="24" t="s">
        <v>38</v>
      </c>
      <c r="G14" s="16" t="s">
        <v>154</v>
      </c>
      <c r="H14" s="4" t="e">
        <f t="shared" si="0"/>
        <v>#N/A</v>
      </c>
      <c r="I14" s="4" t="str">
        <f t="shared" si="1"/>
        <v>00</v>
      </c>
      <c r="J14" s="4" t="str">
        <f t="shared" si="2"/>
        <v>00</v>
      </c>
      <c r="K14" s="14" t="e">
        <f t="shared" si="3"/>
        <v>#N/A</v>
      </c>
      <c r="L14" s="17" t="e">
        <f t="shared" si="4"/>
        <v>#N/A</v>
      </c>
      <c r="M14" s="20" t="str">
        <f t="shared" si="5"/>
        <v/>
      </c>
      <c r="N14" s="21" t="str">
        <f t="shared" si="6"/>
        <v/>
      </c>
      <c r="O14" s="24" t="s">
        <v>39</v>
      </c>
      <c r="P14" s="24" t="s">
        <v>82</v>
      </c>
      <c r="T14" s="2" t="s">
        <v>205</v>
      </c>
      <c r="U14" s="82">
        <v>1001</v>
      </c>
      <c r="V14" s="93">
        <f t="shared" si="7"/>
        <v>1100</v>
      </c>
      <c r="W14" s="47" t="str">
        <f t="shared" si="8"/>
        <v>C</v>
      </c>
      <c r="X14" s="59">
        <f t="shared" si="9"/>
        <v>12</v>
      </c>
      <c r="Z14" s="48"/>
    </row>
    <row r="15" spans="1:26" x14ac:dyDescent="0.25">
      <c r="A15" s="22">
        <v>13</v>
      </c>
      <c r="B15" s="69"/>
      <c r="C15" s="70"/>
      <c r="D15" s="70"/>
      <c r="E15" s="86"/>
      <c r="F15" s="24" t="s">
        <v>40</v>
      </c>
      <c r="G15" s="16" t="s">
        <v>138</v>
      </c>
      <c r="H15" s="4" t="e">
        <f t="shared" si="0"/>
        <v>#N/A</v>
      </c>
      <c r="I15" s="4" t="str">
        <f t="shared" si="1"/>
        <v>00</v>
      </c>
      <c r="J15" s="4" t="str">
        <f t="shared" si="2"/>
        <v>00</v>
      </c>
      <c r="K15" s="14" t="e">
        <f t="shared" si="3"/>
        <v>#N/A</v>
      </c>
      <c r="L15" s="17" t="e">
        <f t="shared" si="4"/>
        <v>#N/A</v>
      </c>
      <c r="M15" s="20" t="str">
        <f t="shared" si="5"/>
        <v/>
      </c>
      <c r="N15" s="21" t="str">
        <f t="shared" si="6"/>
        <v/>
      </c>
      <c r="O15" s="24" t="s">
        <v>41</v>
      </c>
      <c r="P15" s="24" t="s">
        <v>83</v>
      </c>
      <c r="T15" s="2" t="s">
        <v>141</v>
      </c>
      <c r="U15" s="82">
        <v>1011000</v>
      </c>
      <c r="V15" s="93">
        <f t="shared" si="7"/>
        <v>1001</v>
      </c>
      <c r="W15" s="47" t="str">
        <f t="shared" si="8"/>
        <v>9</v>
      </c>
      <c r="X15" s="59">
        <f t="shared" si="9"/>
        <v>9</v>
      </c>
      <c r="Z15" s="48"/>
    </row>
    <row r="16" spans="1:26" x14ac:dyDescent="0.25">
      <c r="A16" s="22">
        <v>14</v>
      </c>
      <c r="B16" s="69"/>
      <c r="C16" s="70"/>
      <c r="D16" s="70"/>
      <c r="E16" s="86"/>
      <c r="F16" s="24" t="s">
        <v>43</v>
      </c>
      <c r="G16" s="4" t="s">
        <v>42</v>
      </c>
      <c r="H16" s="4" t="e">
        <f t="shared" si="0"/>
        <v>#N/A</v>
      </c>
      <c r="I16" s="4" t="str">
        <f t="shared" si="1"/>
        <v>00</v>
      </c>
      <c r="J16" s="4" t="str">
        <f t="shared" si="2"/>
        <v>00</v>
      </c>
      <c r="K16" s="14" t="e">
        <f t="shared" si="3"/>
        <v>#N/A</v>
      </c>
      <c r="L16" s="17" t="e">
        <f t="shared" si="4"/>
        <v>#N/A</v>
      </c>
      <c r="M16" s="20" t="str">
        <f t="shared" si="5"/>
        <v/>
      </c>
      <c r="N16" s="21" t="str">
        <f t="shared" si="6"/>
        <v/>
      </c>
      <c r="O16" s="24" t="s">
        <v>44</v>
      </c>
      <c r="P16" s="24" t="s">
        <v>84</v>
      </c>
      <c r="T16" s="2" t="s">
        <v>149</v>
      </c>
      <c r="U16" s="82">
        <v>10001</v>
      </c>
      <c r="V16" s="93">
        <f t="shared" si="7"/>
        <v>1011000</v>
      </c>
      <c r="W16" s="47" t="str">
        <f t="shared" si="8"/>
        <v>58</v>
      </c>
      <c r="X16" s="59">
        <f t="shared" si="9"/>
        <v>88</v>
      </c>
      <c r="Z16" s="48"/>
    </row>
    <row r="17" spans="1:26" x14ac:dyDescent="0.25">
      <c r="A17" s="22">
        <v>15</v>
      </c>
      <c r="B17" s="69"/>
      <c r="C17" s="70"/>
      <c r="D17" s="70"/>
      <c r="E17" s="86"/>
      <c r="F17" s="24" t="s">
        <v>45</v>
      </c>
      <c r="G17" s="4" t="s">
        <v>46</v>
      </c>
      <c r="H17" s="4" t="e">
        <f t="shared" si="0"/>
        <v>#N/A</v>
      </c>
      <c r="I17" s="4" t="str">
        <f t="shared" si="1"/>
        <v>00</v>
      </c>
      <c r="J17" s="4" t="str">
        <f t="shared" si="2"/>
        <v>00</v>
      </c>
      <c r="K17" s="14" t="e">
        <f t="shared" si="3"/>
        <v>#N/A</v>
      </c>
      <c r="L17" s="17" t="e">
        <f t="shared" si="4"/>
        <v>#N/A</v>
      </c>
      <c r="M17" s="20" t="str">
        <f t="shared" si="5"/>
        <v/>
      </c>
      <c r="N17" s="21" t="str">
        <f t="shared" si="6"/>
        <v/>
      </c>
      <c r="O17" s="24" t="s">
        <v>67</v>
      </c>
      <c r="P17" s="24" t="s">
        <v>85</v>
      </c>
      <c r="T17" s="2" t="s">
        <v>141</v>
      </c>
      <c r="U17" s="82">
        <v>1000000</v>
      </c>
      <c r="V17" s="93">
        <f t="shared" si="7"/>
        <v>10001</v>
      </c>
      <c r="W17" s="47" t="str">
        <f t="shared" si="8"/>
        <v>11</v>
      </c>
      <c r="X17" s="59">
        <f t="shared" si="9"/>
        <v>17</v>
      </c>
      <c r="Z17" s="48"/>
    </row>
    <row r="18" spans="1:26" x14ac:dyDescent="0.25">
      <c r="A18" s="22">
        <v>16</v>
      </c>
      <c r="B18" s="18"/>
      <c r="C18" s="19"/>
      <c r="D18" s="19"/>
      <c r="E18" s="87"/>
      <c r="F18" s="24" t="s">
        <v>47</v>
      </c>
      <c r="G18" s="4" t="s">
        <v>48</v>
      </c>
      <c r="H18" s="4" t="e">
        <f t="shared" si="0"/>
        <v>#N/A</v>
      </c>
      <c r="I18" s="4" t="str">
        <f t="shared" si="1"/>
        <v>00</v>
      </c>
      <c r="J18" s="4" t="str">
        <f t="shared" si="2"/>
        <v>00</v>
      </c>
      <c r="K18" s="14" t="e">
        <f t="shared" si="3"/>
        <v>#N/A</v>
      </c>
      <c r="L18" s="17" t="e">
        <f t="shared" si="4"/>
        <v>#N/A</v>
      </c>
      <c r="M18" s="20" t="str">
        <f t="shared" si="5"/>
        <v/>
      </c>
      <c r="N18" s="21" t="str">
        <f t="shared" si="6"/>
        <v/>
      </c>
      <c r="O18" s="24" t="s">
        <v>49</v>
      </c>
      <c r="P18" s="24" t="s">
        <v>86</v>
      </c>
      <c r="T18" s="2" t="s">
        <v>212</v>
      </c>
      <c r="U18" s="82">
        <v>1000</v>
      </c>
      <c r="V18" s="93">
        <f t="shared" si="7"/>
        <v>1000000</v>
      </c>
      <c r="W18" s="47" t="str">
        <f t="shared" si="8"/>
        <v>40</v>
      </c>
      <c r="X18" s="59">
        <f t="shared" si="9"/>
        <v>64</v>
      </c>
      <c r="Z18" s="48"/>
    </row>
    <row r="19" spans="1:26" x14ac:dyDescent="0.25">
      <c r="A19" s="22">
        <v>17</v>
      </c>
      <c r="B19" s="18"/>
      <c r="C19" s="19"/>
      <c r="D19" s="19"/>
      <c r="E19" s="87"/>
      <c r="F19" s="24" t="s">
        <v>50</v>
      </c>
      <c r="G19" s="16" t="s">
        <v>127</v>
      </c>
      <c r="H19" s="4" t="e">
        <f t="shared" si="0"/>
        <v>#N/A</v>
      </c>
      <c r="I19" s="4" t="str">
        <f t="shared" si="1"/>
        <v>00</v>
      </c>
      <c r="J19" s="4" t="str">
        <f t="shared" si="2"/>
        <v>00</v>
      </c>
      <c r="K19" s="14" t="e">
        <f t="shared" si="3"/>
        <v>#N/A</v>
      </c>
      <c r="L19" s="17" t="e">
        <f t="shared" si="4"/>
        <v>#N/A</v>
      </c>
      <c r="M19" s="20" t="str">
        <f t="shared" si="5"/>
        <v/>
      </c>
      <c r="N19" s="21" t="str">
        <f t="shared" si="6"/>
        <v/>
      </c>
      <c r="O19" s="24" t="s">
        <v>60</v>
      </c>
      <c r="P19" s="24" t="s">
        <v>87</v>
      </c>
      <c r="T19" s="2" t="s">
        <v>141</v>
      </c>
      <c r="U19" s="82">
        <v>11001111</v>
      </c>
      <c r="V19" s="93">
        <f t="shared" si="7"/>
        <v>1000</v>
      </c>
      <c r="W19" s="47" t="str">
        <f t="shared" si="8"/>
        <v>8</v>
      </c>
      <c r="X19" s="59">
        <f t="shared" si="9"/>
        <v>8</v>
      </c>
    </row>
    <row r="20" spans="1:26" x14ac:dyDescent="0.25">
      <c r="A20" s="22">
        <v>18</v>
      </c>
      <c r="B20" s="18"/>
      <c r="C20" s="19"/>
      <c r="D20" s="19"/>
      <c r="E20" s="87"/>
      <c r="F20" s="24" t="s">
        <v>51</v>
      </c>
      <c r="G20" s="16" t="s">
        <v>128</v>
      </c>
      <c r="H20" s="4" t="e">
        <f t="shared" si="0"/>
        <v>#N/A</v>
      </c>
      <c r="I20" s="4" t="str">
        <f t="shared" si="1"/>
        <v>00</v>
      </c>
      <c r="J20" s="4" t="str">
        <f t="shared" si="2"/>
        <v>00</v>
      </c>
      <c r="K20" s="14" t="e">
        <f t="shared" si="3"/>
        <v>#N/A</v>
      </c>
      <c r="L20" s="17" t="e">
        <f t="shared" si="4"/>
        <v>#N/A</v>
      </c>
      <c r="M20" s="20" t="str">
        <f t="shared" si="5"/>
        <v/>
      </c>
      <c r="N20" s="21" t="str">
        <f t="shared" si="6"/>
        <v/>
      </c>
      <c r="O20" s="24" t="s">
        <v>61</v>
      </c>
      <c r="P20" s="24" t="s">
        <v>88</v>
      </c>
      <c r="T20" s="2" t="s">
        <v>48</v>
      </c>
      <c r="U20" s="82"/>
      <c r="V20" s="93">
        <f t="shared" si="7"/>
        <v>11001111</v>
      </c>
      <c r="W20" s="47" t="str">
        <f t="shared" si="8"/>
        <v>CF</v>
      </c>
      <c r="X20" s="59">
        <f t="shared" si="9"/>
        <v>207</v>
      </c>
    </row>
    <row r="21" spans="1:26" x14ac:dyDescent="0.25">
      <c r="A21" s="22">
        <v>19</v>
      </c>
      <c r="B21" s="18"/>
      <c r="C21" s="19"/>
      <c r="D21" s="19"/>
      <c r="E21" s="87"/>
      <c r="F21" s="24" t="s">
        <v>52</v>
      </c>
      <c r="G21" s="16" t="s">
        <v>129</v>
      </c>
      <c r="H21" s="4" t="e">
        <f t="shared" si="0"/>
        <v>#N/A</v>
      </c>
      <c r="I21" s="4" t="str">
        <f t="shared" si="1"/>
        <v>00</v>
      </c>
      <c r="J21" s="4" t="str">
        <f t="shared" si="2"/>
        <v>00</v>
      </c>
      <c r="K21" s="14" t="e">
        <f t="shared" si="3"/>
        <v>#N/A</v>
      </c>
      <c r="L21" s="17" t="e">
        <f t="shared" si="4"/>
        <v>#N/A</v>
      </c>
      <c r="M21" s="20" t="str">
        <f t="shared" si="5"/>
        <v/>
      </c>
      <c r="N21" s="21" t="str">
        <f t="shared" si="6"/>
        <v/>
      </c>
      <c r="O21" s="24" t="s">
        <v>62</v>
      </c>
      <c r="P21" s="24" t="s">
        <v>89</v>
      </c>
      <c r="T21" s="2" t="s">
        <v>208</v>
      </c>
      <c r="U21" s="82"/>
      <c r="V21" s="93">
        <f t="shared" si="7"/>
        <v>0</v>
      </c>
      <c r="W21" s="47" t="str">
        <f t="shared" si="8"/>
        <v>0</v>
      </c>
      <c r="X21" s="59">
        <f t="shared" si="9"/>
        <v>0</v>
      </c>
    </row>
    <row r="22" spans="1:26" x14ac:dyDescent="0.25">
      <c r="A22" s="22">
        <v>20</v>
      </c>
      <c r="B22" s="18"/>
      <c r="C22" s="19"/>
      <c r="D22" s="19"/>
      <c r="E22" s="87"/>
      <c r="F22" s="24" t="s">
        <v>53</v>
      </c>
      <c r="G22" s="16" t="s">
        <v>130</v>
      </c>
      <c r="H22" s="4" t="e">
        <f t="shared" si="0"/>
        <v>#N/A</v>
      </c>
      <c r="I22" s="4" t="str">
        <f t="shared" si="1"/>
        <v>00</v>
      </c>
      <c r="J22" s="4" t="str">
        <f t="shared" si="2"/>
        <v>00</v>
      </c>
      <c r="K22" s="14" t="e">
        <f t="shared" si="3"/>
        <v>#N/A</v>
      </c>
      <c r="L22" s="17" t="e">
        <f t="shared" si="4"/>
        <v>#N/A</v>
      </c>
      <c r="M22" s="20" t="str">
        <f t="shared" si="5"/>
        <v/>
      </c>
      <c r="N22" s="21" t="str">
        <f t="shared" si="6"/>
        <v/>
      </c>
      <c r="O22" s="24" t="s">
        <v>146</v>
      </c>
      <c r="P22" s="24" t="s">
        <v>90</v>
      </c>
      <c r="T22" s="2" t="s">
        <v>206</v>
      </c>
      <c r="U22" s="82"/>
      <c r="V22" s="93">
        <f t="shared" si="7"/>
        <v>0</v>
      </c>
      <c r="W22" s="47" t="str">
        <f t="shared" si="8"/>
        <v>0</v>
      </c>
      <c r="X22" s="59">
        <f t="shared" si="9"/>
        <v>0</v>
      </c>
    </row>
    <row r="23" spans="1:26" x14ac:dyDescent="0.25">
      <c r="A23" s="22">
        <v>21</v>
      </c>
      <c r="B23" s="18"/>
      <c r="C23" s="19"/>
      <c r="D23" s="19"/>
      <c r="E23" s="87"/>
      <c r="F23" s="24" t="s">
        <v>54</v>
      </c>
      <c r="G23" s="16" t="s">
        <v>131</v>
      </c>
      <c r="H23" s="4" t="e">
        <f t="shared" si="0"/>
        <v>#N/A</v>
      </c>
      <c r="I23" s="4" t="str">
        <f t="shared" si="1"/>
        <v>00</v>
      </c>
      <c r="J23" s="4" t="str">
        <f t="shared" si="2"/>
        <v>00</v>
      </c>
      <c r="K23" s="14" t="e">
        <f t="shared" si="3"/>
        <v>#N/A</v>
      </c>
      <c r="L23" s="17" t="e">
        <f t="shared" si="4"/>
        <v>#N/A</v>
      </c>
      <c r="M23" s="20" t="str">
        <f t="shared" si="5"/>
        <v/>
      </c>
      <c r="N23" s="21" t="str">
        <f t="shared" si="6"/>
        <v/>
      </c>
      <c r="O23" s="24" t="s">
        <v>63</v>
      </c>
      <c r="P23" s="24" t="s">
        <v>91</v>
      </c>
      <c r="T23" s="2" t="s">
        <v>211</v>
      </c>
      <c r="U23" s="82"/>
      <c r="V23" s="93">
        <f t="shared" si="7"/>
        <v>0</v>
      </c>
      <c r="W23" s="47" t="str">
        <f t="shared" si="8"/>
        <v>0</v>
      </c>
      <c r="X23" s="59">
        <f t="shared" si="9"/>
        <v>0</v>
      </c>
    </row>
    <row r="24" spans="1:26" x14ac:dyDescent="0.25">
      <c r="A24" s="22">
        <v>22</v>
      </c>
      <c r="B24" s="18"/>
      <c r="C24" s="19"/>
      <c r="D24" s="19"/>
      <c r="E24" s="87"/>
      <c r="F24" s="24" t="s">
        <v>55</v>
      </c>
      <c r="G24" s="16" t="s">
        <v>132</v>
      </c>
      <c r="H24" s="4" t="e">
        <f t="shared" si="0"/>
        <v>#N/A</v>
      </c>
      <c r="I24" s="4" t="str">
        <f t="shared" si="1"/>
        <v>00</v>
      </c>
      <c r="J24" s="4" t="str">
        <f t="shared" si="2"/>
        <v>00</v>
      </c>
      <c r="K24" s="14" t="e">
        <f t="shared" si="3"/>
        <v>#N/A</v>
      </c>
      <c r="L24" s="17" t="e">
        <f t="shared" si="4"/>
        <v>#N/A</v>
      </c>
      <c r="M24" s="20" t="str">
        <f t="shared" si="5"/>
        <v/>
      </c>
      <c r="N24" s="21" t="str">
        <f t="shared" si="6"/>
        <v/>
      </c>
      <c r="O24" s="24" t="s">
        <v>64</v>
      </c>
      <c r="P24" s="24" t="s">
        <v>92</v>
      </c>
      <c r="T24" s="2">
        <v>11001111</v>
      </c>
      <c r="U24" s="82"/>
      <c r="V24" s="93">
        <f t="shared" si="7"/>
        <v>0</v>
      </c>
      <c r="W24" s="47" t="str">
        <f t="shared" si="8"/>
        <v>0</v>
      </c>
      <c r="X24" s="59">
        <f t="shared" si="9"/>
        <v>0</v>
      </c>
    </row>
    <row r="25" spans="1:26" x14ac:dyDescent="0.25">
      <c r="A25" s="22">
        <v>23</v>
      </c>
      <c r="B25" s="18"/>
      <c r="C25" s="19"/>
      <c r="D25" s="19"/>
      <c r="E25" s="87"/>
      <c r="F25" s="24" t="s">
        <v>56</v>
      </c>
      <c r="G25" s="16" t="s">
        <v>133</v>
      </c>
      <c r="H25" s="4" t="e">
        <f t="shared" si="0"/>
        <v>#N/A</v>
      </c>
      <c r="I25" s="4" t="str">
        <f t="shared" si="1"/>
        <v>00</v>
      </c>
      <c r="J25" s="4" t="str">
        <f t="shared" si="2"/>
        <v>00</v>
      </c>
      <c r="K25" s="14" t="e">
        <f t="shared" si="3"/>
        <v>#N/A</v>
      </c>
      <c r="L25" s="17" t="e">
        <f t="shared" si="4"/>
        <v>#N/A</v>
      </c>
      <c r="M25" s="20" t="str">
        <f t="shared" si="5"/>
        <v/>
      </c>
      <c r="N25" s="21" t="str">
        <f t="shared" si="6"/>
        <v/>
      </c>
      <c r="O25" s="24" t="s">
        <v>65</v>
      </c>
      <c r="P25" s="24" t="s">
        <v>93</v>
      </c>
      <c r="T25" s="2" t="s">
        <v>141</v>
      </c>
      <c r="U25" s="82"/>
      <c r="V25" s="93">
        <f t="shared" si="7"/>
        <v>0</v>
      </c>
      <c r="W25" s="47" t="str">
        <f t="shared" si="8"/>
        <v>0</v>
      </c>
      <c r="X25" s="59">
        <f t="shared" si="9"/>
        <v>0</v>
      </c>
    </row>
    <row r="26" spans="1:26" x14ac:dyDescent="0.25">
      <c r="A26" s="22">
        <v>24</v>
      </c>
      <c r="B26" s="18"/>
      <c r="C26" s="19"/>
      <c r="D26" s="19"/>
      <c r="E26" s="87"/>
      <c r="F26" s="24" t="s">
        <v>122</v>
      </c>
      <c r="G26" s="16" t="s">
        <v>134</v>
      </c>
      <c r="H26" s="4" t="e">
        <f t="shared" si="0"/>
        <v>#N/A</v>
      </c>
      <c r="I26" s="4" t="str">
        <f t="shared" si="1"/>
        <v>00</v>
      </c>
      <c r="J26" s="4" t="str">
        <f t="shared" si="2"/>
        <v>00</v>
      </c>
      <c r="K26" s="14" t="e">
        <f t="shared" si="3"/>
        <v>#N/A</v>
      </c>
      <c r="L26" s="17" t="e">
        <f t="shared" si="4"/>
        <v>#N/A</v>
      </c>
      <c r="M26" s="20" t="str">
        <f t="shared" si="5"/>
        <v/>
      </c>
      <c r="N26" s="21" t="str">
        <f t="shared" si="6"/>
        <v/>
      </c>
      <c r="O26" s="24" t="s">
        <v>123</v>
      </c>
      <c r="P26" s="24" t="s">
        <v>124</v>
      </c>
      <c r="T26" s="2" t="s">
        <v>141</v>
      </c>
      <c r="U26" s="82"/>
      <c r="V26" s="93">
        <f t="shared" si="7"/>
        <v>0</v>
      </c>
      <c r="W26" s="47">
        <v>0</v>
      </c>
      <c r="X26" s="59">
        <f t="shared" si="9"/>
        <v>0</v>
      </c>
    </row>
    <row r="27" spans="1:26" x14ac:dyDescent="0.25">
      <c r="A27" s="22">
        <v>25</v>
      </c>
      <c r="B27" s="18"/>
      <c r="C27" s="19"/>
      <c r="D27" s="19"/>
      <c r="E27" s="87"/>
      <c r="F27" s="24" t="s">
        <v>57</v>
      </c>
      <c r="G27" s="16" t="s">
        <v>135</v>
      </c>
      <c r="H27" s="4" t="e">
        <f t="shared" si="0"/>
        <v>#N/A</v>
      </c>
      <c r="I27" s="4" t="str">
        <f t="shared" si="1"/>
        <v>00</v>
      </c>
      <c r="J27" s="4" t="str">
        <f t="shared" si="2"/>
        <v>00</v>
      </c>
      <c r="K27" s="14" t="e">
        <f t="shared" si="3"/>
        <v>#N/A</v>
      </c>
      <c r="L27" s="17" t="e">
        <f t="shared" si="4"/>
        <v>#N/A</v>
      </c>
      <c r="M27" s="20" t="str">
        <f t="shared" si="5"/>
        <v/>
      </c>
      <c r="N27" s="21" t="str">
        <f t="shared" si="6"/>
        <v/>
      </c>
      <c r="O27" s="24" t="s">
        <v>125</v>
      </c>
      <c r="P27" s="24" t="s">
        <v>94</v>
      </c>
      <c r="T27" s="2" t="s">
        <v>141</v>
      </c>
      <c r="U27" s="82"/>
      <c r="V27" s="93">
        <f t="shared" si="7"/>
        <v>0</v>
      </c>
      <c r="W27" s="47">
        <v>0</v>
      </c>
      <c r="X27" s="59">
        <f t="shared" si="9"/>
        <v>0</v>
      </c>
    </row>
    <row r="28" spans="1:26" x14ac:dyDescent="0.25">
      <c r="A28" s="22">
        <v>26</v>
      </c>
      <c r="B28" s="18"/>
      <c r="C28" s="19"/>
      <c r="D28" s="19"/>
      <c r="E28" s="87"/>
      <c r="F28" s="24" t="s">
        <v>58</v>
      </c>
      <c r="G28" s="16" t="s">
        <v>136</v>
      </c>
      <c r="H28" s="4" t="e">
        <f t="shared" si="0"/>
        <v>#N/A</v>
      </c>
      <c r="I28" s="4" t="str">
        <f t="shared" si="1"/>
        <v>00</v>
      </c>
      <c r="J28" s="4" t="str">
        <f t="shared" si="2"/>
        <v>00</v>
      </c>
      <c r="K28" s="14" t="e">
        <f t="shared" si="3"/>
        <v>#N/A</v>
      </c>
      <c r="L28" s="17" t="e">
        <f t="shared" si="4"/>
        <v>#N/A</v>
      </c>
      <c r="M28" s="20" t="str">
        <f t="shared" si="5"/>
        <v/>
      </c>
      <c r="N28" s="21" t="str">
        <f t="shared" si="6"/>
        <v/>
      </c>
      <c r="O28" s="24" t="s">
        <v>126</v>
      </c>
      <c r="P28" s="24" t="s">
        <v>95</v>
      </c>
      <c r="T28" s="2" t="s">
        <v>141</v>
      </c>
      <c r="U28" s="82"/>
      <c r="V28" s="93">
        <f t="shared" si="7"/>
        <v>0</v>
      </c>
      <c r="W28" s="47">
        <v>0</v>
      </c>
      <c r="X28" s="59">
        <f t="shared" si="9"/>
        <v>0</v>
      </c>
    </row>
    <row r="29" spans="1:26" x14ac:dyDescent="0.25">
      <c r="A29" s="22">
        <v>27</v>
      </c>
      <c r="B29" s="18"/>
      <c r="C29" s="19"/>
      <c r="D29" s="19"/>
      <c r="E29" s="87"/>
      <c r="F29" s="24" t="s">
        <v>59</v>
      </c>
      <c r="G29" s="16" t="s">
        <v>137</v>
      </c>
      <c r="H29" s="4" t="e">
        <f t="shared" si="0"/>
        <v>#N/A</v>
      </c>
      <c r="I29" s="4" t="str">
        <f t="shared" si="1"/>
        <v>00</v>
      </c>
      <c r="J29" s="4" t="str">
        <f t="shared" si="2"/>
        <v>00</v>
      </c>
      <c r="K29" s="14" t="e">
        <f t="shared" si="3"/>
        <v>#N/A</v>
      </c>
      <c r="L29" s="17" t="e">
        <f t="shared" si="4"/>
        <v>#N/A</v>
      </c>
      <c r="M29" s="20" t="str">
        <f t="shared" si="5"/>
        <v/>
      </c>
      <c r="N29" s="21" t="str">
        <f t="shared" si="6"/>
        <v/>
      </c>
      <c r="O29" s="24" t="s">
        <v>66</v>
      </c>
      <c r="P29" s="24" t="s">
        <v>96</v>
      </c>
      <c r="T29" s="2" t="s">
        <v>141</v>
      </c>
      <c r="U29" s="82"/>
      <c r="V29" s="93">
        <f t="shared" si="7"/>
        <v>0</v>
      </c>
      <c r="W29" s="47">
        <v>0</v>
      </c>
      <c r="X29" s="59">
        <f t="shared" si="9"/>
        <v>0</v>
      </c>
    </row>
    <row r="30" spans="1:26" x14ac:dyDescent="0.25">
      <c r="A30" s="22">
        <v>28</v>
      </c>
      <c r="B30" s="18"/>
      <c r="C30" s="19"/>
      <c r="D30" s="19"/>
      <c r="E30" s="87"/>
      <c r="F30" s="24" t="s">
        <v>68</v>
      </c>
      <c r="G30" s="4" t="s">
        <v>97</v>
      </c>
      <c r="H30" s="4" t="e">
        <f t="shared" si="0"/>
        <v>#N/A</v>
      </c>
      <c r="I30" s="4" t="str">
        <f t="shared" si="1"/>
        <v>00</v>
      </c>
      <c r="J30" s="4" t="str">
        <f t="shared" si="2"/>
        <v>00</v>
      </c>
      <c r="K30" s="14" t="e">
        <f t="shared" si="3"/>
        <v>#N/A</v>
      </c>
      <c r="L30" s="17" t="e">
        <f t="shared" si="4"/>
        <v>#N/A</v>
      </c>
      <c r="M30" s="20" t="str">
        <f t="shared" si="5"/>
        <v/>
      </c>
      <c r="N30" s="21" t="str">
        <f t="shared" si="6"/>
        <v/>
      </c>
      <c r="O30" s="24" t="s">
        <v>69</v>
      </c>
      <c r="P30" s="24" t="s">
        <v>68</v>
      </c>
      <c r="T30" s="2" t="s">
        <v>141</v>
      </c>
      <c r="U30" s="82"/>
      <c r="V30" s="93">
        <f t="shared" si="7"/>
        <v>0</v>
      </c>
      <c r="W30" s="47">
        <v>0</v>
      </c>
      <c r="X30" s="59">
        <f t="shared" si="9"/>
        <v>0</v>
      </c>
    </row>
    <row r="31" spans="1:26" x14ac:dyDescent="0.25">
      <c r="A31" s="22">
        <v>29</v>
      </c>
      <c r="B31" s="18"/>
      <c r="C31" s="19"/>
      <c r="D31" s="19"/>
      <c r="E31" s="87"/>
      <c r="F31" s="24" t="s">
        <v>8</v>
      </c>
      <c r="G31" s="13" t="s">
        <v>98</v>
      </c>
      <c r="H31" s="4" t="e">
        <f t="shared" si="0"/>
        <v>#N/A</v>
      </c>
      <c r="I31" s="4" t="str">
        <f t="shared" si="1"/>
        <v>00</v>
      </c>
      <c r="J31" s="4" t="str">
        <f t="shared" si="2"/>
        <v>00</v>
      </c>
      <c r="K31" s="14" t="e">
        <f t="shared" si="3"/>
        <v>#N/A</v>
      </c>
      <c r="L31" s="17" t="e">
        <f t="shared" si="4"/>
        <v>#N/A</v>
      </c>
      <c r="M31" s="20" t="str">
        <f t="shared" si="5"/>
        <v/>
      </c>
      <c r="N31" s="21" t="str">
        <f t="shared" si="6"/>
        <v/>
      </c>
      <c r="O31" s="24" t="s">
        <v>30</v>
      </c>
      <c r="P31" s="24" t="s">
        <v>8</v>
      </c>
      <c r="T31" s="2" t="s">
        <v>141</v>
      </c>
      <c r="U31" s="82"/>
      <c r="V31" s="93">
        <f t="shared" si="7"/>
        <v>0</v>
      </c>
      <c r="W31" s="47" t="str">
        <f t="shared" si="8"/>
        <v>0</v>
      </c>
      <c r="X31" s="59">
        <f t="shared" si="9"/>
        <v>0</v>
      </c>
    </row>
    <row r="32" spans="1:26" x14ac:dyDescent="0.25">
      <c r="A32" s="22">
        <v>30</v>
      </c>
      <c r="B32" s="18"/>
      <c r="C32" s="19"/>
      <c r="D32" s="19"/>
      <c r="E32" s="87"/>
      <c r="F32" s="24" t="s">
        <v>9</v>
      </c>
      <c r="G32" s="13" t="s">
        <v>99</v>
      </c>
      <c r="H32" s="4" t="e">
        <f t="shared" si="0"/>
        <v>#N/A</v>
      </c>
      <c r="I32" s="4" t="str">
        <f t="shared" si="1"/>
        <v>00</v>
      </c>
      <c r="J32" s="4" t="str">
        <f t="shared" si="2"/>
        <v>00</v>
      </c>
      <c r="K32" s="14" t="e">
        <f t="shared" si="3"/>
        <v>#N/A</v>
      </c>
      <c r="L32" s="17" t="e">
        <f t="shared" si="4"/>
        <v>#N/A</v>
      </c>
      <c r="M32" s="20" t="str">
        <f t="shared" si="5"/>
        <v/>
      </c>
      <c r="N32" s="21" t="str">
        <f t="shared" si="6"/>
        <v/>
      </c>
      <c r="O32" s="24" t="s">
        <v>31</v>
      </c>
      <c r="P32" s="24" t="s">
        <v>9</v>
      </c>
      <c r="T32" s="2" t="s">
        <v>141</v>
      </c>
      <c r="U32" s="82"/>
      <c r="V32" s="93">
        <f t="shared" si="7"/>
        <v>0</v>
      </c>
      <c r="W32" s="47" t="str">
        <f t="shared" si="8"/>
        <v>0</v>
      </c>
      <c r="X32" s="59">
        <f t="shared" si="9"/>
        <v>0</v>
      </c>
    </row>
    <row r="33" spans="1:24" x14ac:dyDescent="0.25">
      <c r="A33" s="22">
        <v>31</v>
      </c>
      <c r="B33" s="18"/>
      <c r="C33" s="19"/>
      <c r="D33" s="19"/>
      <c r="E33" s="87"/>
      <c r="F33" s="24" t="s">
        <v>10</v>
      </c>
      <c r="G33" s="13" t="s">
        <v>115</v>
      </c>
      <c r="H33" s="4" t="e">
        <f t="shared" si="0"/>
        <v>#N/A</v>
      </c>
      <c r="I33" s="4" t="str">
        <f t="shared" si="1"/>
        <v>00</v>
      </c>
      <c r="J33" s="4" t="str">
        <f t="shared" si="2"/>
        <v>00</v>
      </c>
      <c r="K33" s="14" t="e">
        <f t="shared" si="3"/>
        <v>#N/A</v>
      </c>
      <c r="L33" s="17" t="e">
        <f t="shared" si="4"/>
        <v>#N/A</v>
      </c>
      <c r="M33" s="20" t="str">
        <f t="shared" si="5"/>
        <v/>
      </c>
      <c r="N33" s="21" t="str">
        <f t="shared" si="6"/>
        <v/>
      </c>
      <c r="O33" s="24" t="s">
        <v>32</v>
      </c>
      <c r="P33" s="24" t="s">
        <v>10</v>
      </c>
      <c r="T33" s="2" t="s">
        <v>141</v>
      </c>
      <c r="U33" s="82"/>
      <c r="V33" s="93">
        <f t="shared" si="7"/>
        <v>0</v>
      </c>
      <c r="W33" s="47" t="str">
        <f t="shared" si="8"/>
        <v>0</v>
      </c>
      <c r="X33" s="59">
        <f t="shared" si="9"/>
        <v>0</v>
      </c>
    </row>
    <row r="34" spans="1:24" x14ac:dyDescent="0.25">
      <c r="A34" s="22">
        <v>32</v>
      </c>
      <c r="B34" s="18"/>
      <c r="C34" s="19"/>
      <c r="D34" s="19"/>
      <c r="E34" s="87"/>
      <c r="F34" s="24" t="s">
        <v>11</v>
      </c>
      <c r="G34" s="13" t="s">
        <v>116</v>
      </c>
      <c r="H34" s="4" t="e">
        <f t="shared" si="0"/>
        <v>#N/A</v>
      </c>
      <c r="I34" s="4" t="str">
        <f t="shared" si="1"/>
        <v>00</v>
      </c>
      <c r="J34" s="4" t="str">
        <f t="shared" si="2"/>
        <v>00</v>
      </c>
      <c r="K34" s="14" t="e">
        <f t="shared" si="3"/>
        <v>#N/A</v>
      </c>
      <c r="L34" s="17" t="e">
        <f t="shared" si="4"/>
        <v>#N/A</v>
      </c>
      <c r="M34" s="20" t="str">
        <f t="shared" si="5"/>
        <v/>
      </c>
      <c r="N34" s="21" t="str">
        <f t="shared" si="6"/>
        <v/>
      </c>
      <c r="O34" s="24" t="s">
        <v>33</v>
      </c>
      <c r="P34" s="24" t="s">
        <v>11</v>
      </c>
      <c r="T34" s="2" t="s">
        <v>141</v>
      </c>
      <c r="U34" s="82"/>
      <c r="V34" s="93">
        <f t="shared" si="7"/>
        <v>0</v>
      </c>
      <c r="W34" s="47" t="str">
        <f t="shared" si="8"/>
        <v>0</v>
      </c>
      <c r="X34" s="59">
        <f t="shared" si="9"/>
        <v>0</v>
      </c>
    </row>
    <row r="35" spans="1:24" x14ac:dyDescent="0.25">
      <c r="A35" s="22">
        <v>33</v>
      </c>
      <c r="B35" s="18"/>
      <c r="C35" s="19"/>
      <c r="D35" s="19"/>
      <c r="E35" s="87"/>
      <c r="F35" s="24" t="s">
        <v>100</v>
      </c>
      <c r="G35" s="4"/>
      <c r="H35" s="4" t="e">
        <f t="shared" si="0"/>
        <v>#N/A</v>
      </c>
      <c r="I35" s="4" t="str">
        <f t="shared" si="1"/>
        <v>00</v>
      </c>
      <c r="J35" s="4" t="str">
        <f t="shared" si="2"/>
        <v>00</v>
      </c>
      <c r="K35" s="14" t="e">
        <f t="shared" si="3"/>
        <v>#N/A</v>
      </c>
      <c r="L35" s="17" t="e">
        <f t="shared" si="4"/>
        <v>#N/A</v>
      </c>
      <c r="M35" s="20" t="str">
        <f t="shared" si="5"/>
        <v/>
      </c>
      <c r="N35" s="21" t="str">
        <f t="shared" si="6"/>
        <v/>
      </c>
      <c r="O35" s="24" t="s">
        <v>104</v>
      </c>
      <c r="P35" s="24" t="s">
        <v>108</v>
      </c>
      <c r="T35" s="2" t="s">
        <v>141</v>
      </c>
      <c r="U35" s="82"/>
      <c r="V35" s="93">
        <f t="shared" si="7"/>
        <v>0</v>
      </c>
      <c r="W35" s="47" t="str">
        <f t="shared" si="8"/>
        <v>0</v>
      </c>
      <c r="X35" s="59">
        <f t="shared" si="9"/>
        <v>0</v>
      </c>
    </row>
    <row r="36" spans="1:24" x14ac:dyDescent="0.25">
      <c r="A36" s="22">
        <v>34</v>
      </c>
      <c r="B36" s="18"/>
      <c r="C36" s="19"/>
      <c r="D36" s="19"/>
      <c r="E36" s="87"/>
      <c r="F36" s="24" t="s">
        <v>101</v>
      </c>
      <c r="G36" s="4"/>
      <c r="H36" s="4" t="e">
        <f t="shared" si="0"/>
        <v>#N/A</v>
      </c>
      <c r="I36" s="4" t="str">
        <f t="shared" si="1"/>
        <v>00</v>
      </c>
      <c r="J36" s="4" t="str">
        <f t="shared" si="2"/>
        <v>00</v>
      </c>
      <c r="K36" s="14" t="e">
        <f t="shared" si="3"/>
        <v>#N/A</v>
      </c>
      <c r="L36" s="17" t="e">
        <f t="shared" si="4"/>
        <v>#N/A</v>
      </c>
      <c r="M36" s="20" t="str">
        <f t="shared" si="5"/>
        <v/>
      </c>
      <c r="N36" s="21" t="str">
        <f t="shared" si="6"/>
        <v/>
      </c>
      <c r="O36" s="24" t="s">
        <v>105</v>
      </c>
      <c r="P36" s="24" t="s">
        <v>109</v>
      </c>
      <c r="T36" s="2" t="s">
        <v>141</v>
      </c>
      <c r="U36" s="82"/>
      <c r="V36" s="93">
        <f t="shared" si="7"/>
        <v>0</v>
      </c>
      <c r="W36" s="47" t="str">
        <f t="shared" si="8"/>
        <v>0</v>
      </c>
      <c r="X36" s="59">
        <f t="shared" si="9"/>
        <v>0</v>
      </c>
    </row>
    <row r="37" spans="1:24" x14ac:dyDescent="0.25">
      <c r="A37" s="22">
        <v>35</v>
      </c>
      <c r="B37" s="18"/>
      <c r="C37" s="19"/>
      <c r="D37" s="19"/>
      <c r="E37" s="87"/>
      <c r="F37" s="24" t="s">
        <v>102</v>
      </c>
      <c r="G37" s="4"/>
      <c r="H37" s="4" t="e">
        <f t="shared" si="0"/>
        <v>#N/A</v>
      </c>
      <c r="I37" s="4" t="str">
        <f t="shared" si="1"/>
        <v>00</v>
      </c>
      <c r="J37" s="4" t="str">
        <f t="shared" si="2"/>
        <v>00</v>
      </c>
      <c r="K37" s="14" t="e">
        <f t="shared" si="3"/>
        <v>#N/A</v>
      </c>
      <c r="L37" s="17" t="e">
        <f t="shared" si="4"/>
        <v>#N/A</v>
      </c>
      <c r="M37" s="20" t="str">
        <f t="shared" si="5"/>
        <v/>
      </c>
      <c r="N37" s="21" t="str">
        <f t="shared" si="6"/>
        <v/>
      </c>
      <c r="O37" s="24" t="s">
        <v>106</v>
      </c>
      <c r="P37" s="24" t="s">
        <v>110</v>
      </c>
      <c r="T37" s="2" t="s">
        <v>141</v>
      </c>
      <c r="U37" s="82"/>
      <c r="V37" s="93">
        <f t="shared" si="7"/>
        <v>0</v>
      </c>
      <c r="W37" s="47" t="str">
        <f t="shared" si="8"/>
        <v>0</v>
      </c>
      <c r="X37" s="59">
        <f t="shared" si="9"/>
        <v>0</v>
      </c>
    </row>
    <row r="38" spans="1:24" x14ac:dyDescent="0.25">
      <c r="A38" s="22">
        <v>36</v>
      </c>
      <c r="B38" s="18"/>
      <c r="C38" s="19"/>
      <c r="D38" s="19"/>
      <c r="E38" s="87"/>
      <c r="F38" s="24" t="s">
        <v>103</v>
      </c>
      <c r="G38" s="4"/>
      <c r="H38" s="4" t="e">
        <f t="shared" si="0"/>
        <v>#N/A</v>
      </c>
      <c r="I38" s="4" t="str">
        <f t="shared" si="1"/>
        <v>00</v>
      </c>
      <c r="J38" s="4" t="str">
        <f t="shared" si="2"/>
        <v>00</v>
      </c>
      <c r="K38" s="14" t="e">
        <f t="shared" si="3"/>
        <v>#N/A</v>
      </c>
      <c r="L38" s="17" t="e">
        <f t="shared" si="4"/>
        <v>#N/A</v>
      </c>
      <c r="M38" s="20" t="str">
        <f t="shared" si="5"/>
        <v/>
      </c>
      <c r="N38" s="21" t="str">
        <f t="shared" si="6"/>
        <v/>
      </c>
      <c r="O38" s="24" t="s">
        <v>107</v>
      </c>
      <c r="P38" s="24" t="s">
        <v>111</v>
      </c>
      <c r="T38" s="2" t="s">
        <v>141</v>
      </c>
      <c r="U38" s="82"/>
      <c r="V38" s="93">
        <f t="shared" si="7"/>
        <v>0</v>
      </c>
      <c r="W38" s="47" t="str">
        <f t="shared" si="8"/>
        <v>0</v>
      </c>
      <c r="X38" s="59">
        <f t="shared" si="9"/>
        <v>0</v>
      </c>
    </row>
    <row r="39" spans="1:24" x14ac:dyDescent="0.25">
      <c r="A39" s="22">
        <v>37</v>
      </c>
      <c r="B39" s="18"/>
      <c r="C39" s="19"/>
      <c r="D39" s="19"/>
      <c r="E39" s="87"/>
      <c r="F39" s="24" t="s">
        <v>145</v>
      </c>
      <c r="G39" s="4">
        <v>11001111</v>
      </c>
      <c r="H39" s="4" t="e">
        <f t="shared" si="0"/>
        <v>#N/A</v>
      </c>
      <c r="I39" s="4" t="str">
        <f t="shared" si="1"/>
        <v>00</v>
      </c>
      <c r="J39" s="4" t="str">
        <f t="shared" si="2"/>
        <v>00</v>
      </c>
      <c r="K39" s="14" t="e">
        <f t="shared" si="3"/>
        <v>#N/A</v>
      </c>
      <c r="L39" s="17" t="e">
        <f t="shared" si="4"/>
        <v>#N/A</v>
      </c>
      <c r="M39" s="20" t="str">
        <f t="shared" si="5"/>
        <v/>
      </c>
      <c r="N39" s="21" t="str">
        <f t="shared" si="6"/>
        <v/>
      </c>
      <c r="O39" s="24" t="s">
        <v>145</v>
      </c>
      <c r="P39" s="24" t="s">
        <v>145</v>
      </c>
      <c r="T39" s="2" t="s">
        <v>141</v>
      </c>
      <c r="U39" s="82"/>
      <c r="V39" s="93">
        <f t="shared" si="7"/>
        <v>0</v>
      </c>
      <c r="W39" s="47" t="str">
        <f t="shared" si="8"/>
        <v>0</v>
      </c>
      <c r="X39" s="59">
        <f t="shared" si="9"/>
        <v>0</v>
      </c>
    </row>
    <row r="40" spans="1:24" x14ac:dyDescent="0.25">
      <c r="A40" s="22">
        <v>38</v>
      </c>
      <c r="B40" s="18"/>
      <c r="C40" s="19"/>
      <c r="D40" s="19"/>
      <c r="E40" s="87"/>
      <c r="F40" s="24"/>
      <c r="G40" s="4"/>
      <c r="H40" s="4" t="e">
        <f t="shared" si="0"/>
        <v>#N/A</v>
      </c>
      <c r="I40" s="4" t="str">
        <f t="shared" si="1"/>
        <v>00</v>
      </c>
      <c r="J40" s="4" t="str">
        <f t="shared" si="2"/>
        <v>00</v>
      </c>
      <c r="K40" s="14" t="e">
        <f t="shared" si="3"/>
        <v>#N/A</v>
      </c>
      <c r="L40" s="17" t="e">
        <f t="shared" si="4"/>
        <v>#N/A</v>
      </c>
      <c r="M40" s="20" t="str">
        <f t="shared" si="5"/>
        <v/>
      </c>
      <c r="N40" s="21" t="str">
        <f t="shared" si="6"/>
        <v/>
      </c>
      <c r="O40" s="24"/>
      <c r="P40" s="24"/>
      <c r="T40" s="2" t="s">
        <v>141</v>
      </c>
      <c r="U40" s="82"/>
      <c r="V40" s="93">
        <f t="shared" si="7"/>
        <v>0</v>
      </c>
      <c r="W40" s="47" t="str">
        <f t="shared" si="8"/>
        <v>0</v>
      </c>
      <c r="X40" s="59">
        <f t="shared" si="9"/>
        <v>0</v>
      </c>
    </row>
    <row r="41" spans="1:24" x14ac:dyDescent="0.25">
      <c r="A41" s="22">
        <v>39</v>
      </c>
      <c r="B41" s="18"/>
      <c r="C41" s="19"/>
      <c r="D41" s="19"/>
      <c r="E41" s="87"/>
      <c r="F41" s="24"/>
      <c r="G41" s="4"/>
      <c r="H41" s="4" t="e">
        <f t="shared" si="0"/>
        <v>#N/A</v>
      </c>
      <c r="I41" s="4" t="str">
        <f t="shared" si="1"/>
        <v>00</v>
      </c>
      <c r="J41" s="4" t="str">
        <f t="shared" si="2"/>
        <v>00</v>
      </c>
      <c r="K41" s="14" t="e">
        <f t="shared" si="3"/>
        <v>#N/A</v>
      </c>
      <c r="L41" s="17" t="e">
        <f t="shared" si="4"/>
        <v>#N/A</v>
      </c>
      <c r="M41" s="20" t="str">
        <f t="shared" si="5"/>
        <v/>
      </c>
      <c r="N41" s="21" t="str">
        <f t="shared" si="6"/>
        <v/>
      </c>
      <c r="O41" s="24"/>
      <c r="P41" s="24"/>
      <c r="T41" s="2" t="s">
        <v>141</v>
      </c>
      <c r="U41" s="82"/>
      <c r="V41" s="93">
        <f t="shared" si="7"/>
        <v>0</v>
      </c>
      <c r="W41" s="47" t="str">
        <f t="shared" si="8"/>
        <v>0</v>
      </c>
      <c r="X41" s="59">
        <f t="shared" si="9"/>
        <v>0</v>
      </c>
    </row>
    <row r="42" spans="1:24" x14ac:dyDescent="0.25">
      <c r="A42" s="22">
        <v>40</v>
      </c>
      <c r="B42" s="18"/>
      <c r="C42" s="19"/>
      <c r="D42" s="19"/>
      <c r="E42" s="87"/>
      <c r="F42" s="24"/>
      <c r="G42" s="4"/>
      <c r="H42" s="4" t="e">
        <f t="shared" si="0"/>
        <v>#N/A</v>
      </c>
      <c r="I42" s="4" t="str">
        <f t="shared" si="1"/>
        <v>00</v>
      </c>
      <c r="J42" s="4" t="str">
        <f t="shared" si="2"/>
        <v>00</v>
      </c>
      <c r="K42" s="14" t="e">
        <f t="shared" si="3"/>
        <v>#N/A</v>
      </c>
      <c r="L42" s="17" t="e">
        <f t="shared" si="4"/>
        <v>#N/A</v>
      </c>
      <c r="M42" s="20" t="str">
        <f t="shared" si="5"/>
        <v/>
      </c>
      <c r="N42" s="21" t="str">
        <f t="shared" si="6"/>
        <v/>
      </c>
      <c r="O42" s="24"/>
      <c r="P42" s="24"/>
      <c r="T42" s="2" t="s">
        <v>141</v>
      </c>
      <c r="U42" s="82"/>
      <c r="V42" s="93">
        <f t="shared" si="7"/>
        <v>0</v>
      </c>
      <c r="W42" s="47" t="str">
        <f t="shared" si="8"/>
        <v>0</v>
      </c>
      <c r="X42" s="59">
        <f t="shared" si="9"/>
        <v>0</v>
      </c>
    </row>
    <row r="43" spans="1:24" x14ac:dyDescent="0.25">
      <c r="A43" s="22">
        <v>41</v>
      </c>
      <c r="B43" s="18"/>
      <c r="C43" s="19"/>
      <c r="D43" s="19"/>
      <c r="E43" s="87"/>
      <c r="F43" s="24"/>
      <c r="G43" s="4"/>
      <c r="H43" s="4" t="e">
        <f t="shared" si="0"/>
        <v>#N/A</v>
      </c>
      <c r="I43" s="4" t="str">
        <f t="shared" si="1"/>
        <v>00</v>
      </c>
      <c r="J43" s="4" t="str">
        <f t="shared" si="2"/>
        <v>00</v>
      </c>
      <c r="K43" s="14" t="e">
        <f t="shared" si="3"/>
        <v>#N/A</v>
      </c>
      <c r="L43" s="17" t="e">
        <f t="shared" si="4"/>
        <v>#N/A</v>
      </c>
      <c r="M43" s="20" t="str">
        <f t="shared" si="5"/>
        <v/>
      </c>
      <c r="N43" s="21" t="str">
        <f t="shared" si="6"/>
        <v/>
      </c>
      <c r="O43" s="24"/>
      <c r="P43" s="24"/>
      <c r="T43" s="2" t="s">
        <v>141</v>
      </c>
      <c r="U43" s="82"/>
      <c r="V43" s="93">
        <f t="shared" si="7"/>
        <v>0</v>
      </c>
      <c r="W43" s="47" t="str">
        <f t="shared" si="8"/>
        <v>0</v>
      </c>
      <c r="X43" s="59">
        <f t="shared" si="9"/>
        <v>0</v>
      </c>
    </row>
    <row r="44" spans="1:24" x14ac:dyDescent="0.25">
      <c r="A44" s="22">
        <v>42</v>
      </c>
      <c r="B44" s="18"/>
      <c r="C44" s="19"/>
      <c r="D44" s="19"/>
      <c r="E44" s="87"/>
      <c r="F44" s="24"/>
      <c r="G44" s="4"/>
      <c r="H44" s="4" t="e">
        <f t="shared" si="0"/>
        <v>#N/A</v>
      </c>
      <c r="I44" s="4" t="str">
        <f t="shared" si="1"/>
        <v>00</v>
      </c>
      <c r="J44" s="4" t="str">
        <f t="shared" si="2"/>
        <v>00</v>
      </c>
      <c r="K44" s="14" t="e">
        <f t="shared" si="3"/>
        <v>#N/A</v>
      </c>
      <c r="L44" s="17" t="e">
        <f t="shared" si="4"/>
        <v>#N/A</v>
      </c>
      <c r="M44" s="20" t="str">
        <f t="shared" si="5"/>
        <v/>
      </c>
      <c r="N44" s="21" t="str">
        <f t="shared" si="6"/>
        <v/>
      </c>
      <c r="O44" s="24"/>
      <c r="P44" s="24"/>
      <c r="T44" s="2" t="s">
        <v>141</v>
      </c>
      <c r="U44" s="82"/>
      <c r="V44" s="93">
        <f t="shared" si="7"/>
        <v>0</v>
      </c>
      <c r="W44" s="47" t="str">
        <f t="shared" si="8"/>
        <v>0</v>
      </c>
      <c r="X44" s="59">
        <f t="shared" si="9"/>
        <v>0</v>
      </c>
    </row>
    <row r="45" spans="1:24" x14ac:dyDescent="0.25">
      <c r="A45" s="22">
        <v>43</v>
      </c>
      <c r="B45" s="18"/>
      <c r="C45" s="19"/>
      <c r="D45" s="19"/>
      <c r="E45" s="87"/>
      <c r="F45" s="24"/>
      <c r="G45" s="4"/>
      <c r="H45" s="4" t="e">
        <f t="shared" si="0"/>
        <v>#N/A</v>
      </c>
      <c r="I45" s="4" t="str">
        <f t="shared" si="1"/>
        <v>00</v>
      </c>
      <c r="J45" s="4" t="str">
        <f t="shared" si="2"/>
        <v>00</v>
      </c>
      <c r="K45" s="14" t="e">
        <f t="shared" si="3"/>
        <v>#N/A</v>
      </c>
      <c r="L45" s="17" t="e">
        <f t="shared" si="4"/>
        <v>#N/A</v>
      </c>
      <c r="M45" s="20" t="str">
        <f t="shared" si="5"/>
        <v/>
      </c>
      <c r="N45" s="21" t="str">
        <f t="shared" si="6"/>
        <v/>
      </c>
      <c r="O45" s="24"/>
      <c r="P45" s="24"/>
      <c r="T45" s="2" t="s">
        <v>141</v>
      </c>
      <c r="U45" s="82"/>
      <c r="V45" s="93">
        <f t="shared" si="7"/>
        <v>0</v>
      </c>
      <c r="W45" s="47" t="str">
        <f t="shared" si="8"/>
        <v>0</v>
      </c>
      <c r="X45" s="59">
        <f t="shared" si="9"/>
        <v>0</v>
      </c>
    </row>
    <row r="46" spans="1:24" x14ac:dyDescent="0.25">
      <c r="A46" s="22">
        <v>44</v>
      </c>
      <c r="B46" s="18"/>
      <c r="C46" s="19"/>
      <c r="D46" s="19"/>
      <c r="E46" s="87"/>
      <c r="F46" s="24"/>
      <c r="G46" s="4"/>
      <c r="H46" s="4" t="e">
        <f t="shared" si="0"/>
        <v>#N/A</v>
      </c>
      <c r="I46" s="4" t="str">
        <f t="shared" si="1"/>
        <v>00</v>
      </c>
      <c r="J46" s="4" t="str">
        <f t="shared" si="2"/>
        <v>00</v>
      </c>
      <c r="K46" s="14" t="e">
        <f t="shared" si="3"/>
        <v>#N/A</v>
      </c>
      <c r="L46" s="17" t="e">
        <f t="shared" si="4"/>
        <v>#N/A</v>
      </c>
      <c r="M46" s="20" t="str">
        <f t="shared" si="5"/>
        <v/>
      </c>
      <c r="N46" s="21" t="str">
        <f t="shared" si="6"/>
        <v/>
      </c>
      <c r="O46" s="24"/>
      <c r="P46" s="24"/>
      <c r="T46" s="2" t="s">
        <v>141</v>
      </c>
      <c r="U46" s="82"/>
      <c r="V46" s="93">
        <f t="shared" si="7"/>
        <v>0</v>
      </c>
      <c r="W46" s="47" t="str">
        <f t="shared" si="8"/>
        <v>0</v>
      </c>
      <c r="X46" s="59">
        <f t="shared" si="9"/>
        <v>0</v>
      </c>
    </row>
    <row r="47" spans="1:24" x14ac:dyDescent="0.25">
      <c r="A47" s="22">
        <v>45</v>
      </c>
      <c r="B47" s="18"/>
      <c r="C47" s="19"/>
      <c r="D47" s="19"/>
      <c r="E47" s="87"/>
      <c r="F47" s="24"/>
      <c r="G47" s="4"/>
      <c r="H47" s="4" t="e">
        <f t="shared" si="0"/>
        <v>#N/A</v>
      </c>
      <c r="I47" s="4" t="str">
        <f t="shared" si="1"/>
        <v>00</v>
      </c>
      <c r="J47" s="4" t="str">
        <f t="shared" si="2"/>
        <v>00</v>
      </c>
      <c r="K47" s="14" t="e">
        <f t="shared" si="3"/>
        <v>#N/A</v>
      </c>
      <c r="L47" s="17" t="e">
        <f t="shared" si="4"/>
        <v>#N/A</v>
      </c>
      <c r="M47" s="20" t="str">
        <f t="shared" si="5"/>
        <v/>
      </c>
      <c r="N47" s="21" t="str">
        <f t="shared" si="6"/>
        <v/>
      </c>
      <c r="O47" s="24"/>
      <c r="P47" s="24"/>
      <c r="T47" s="2" t="s">
        <v>141</v>
      </c>
      <c r="U47" s="82"/>
      <c r="V47" s="93">
        <f t="shared" si="7"/>
        <v>0</v>
      </c>
      <c r="W47" s="47" t="str">
        <f t="shared" si="8"/>
        <v>0</v>
      </c>
      <c r="X47" s="59">
        <f t="shared" si="9"/>
        <v>0</v>
      </c>
    </row>
    <row r="48" spans="1:24" x14ac:dyDescent="0.25">
      <c r="A48" s="22">
        <v>46</v>
      </c>
      <c r="B48" s="18"/>
      <c r="C48" s="19"/>
      <c r="D48" s="19"/>
      <c r="E48" s="87"/>
      <c r="F48" s="24"/>
      <c r="G48" s="4"/>
      <c r="H48" s="4" t="e">
        <f t="shared" si="0"/>
        <v>#N/A</v>
      </c>
      <c r="I48" s="4" t="str">
        <f t="shared" si="1"/>
        <v>00</v>
      </c>
      <c r="J48" s="4" t="str">
        <f t="shared" si="2"/>
        <v>00</v>
      </c>
      <c r="K48" s="14" t="e">
        <f t="shared" si="3"/>
        <v>#N/A</v>
      </c>
      <c r="L48" s="17" t="e">
        <f t="shared" si="4"/>
        <v>#N/A</v>
      </c>
      <c r="M48" s="20" t="str">
        <f t="shared" si="5"/>
        <v/>
      </c>
      <c r="N48" s="21" t="str">
        <f t="shared" si="6"/>
        <v/>
      </c>
      <c r="O48" s="24"/>
      <c r="P48" s="24"/>
      <c r="T48" s="2" t="s">
        <v>141</v>
      </c>
      <c r="U48" s="82"/>
      <c r="V48" s="93">
        <f t="shared" si="7"/>
        <v>0</v>
      </c>
      <c r="W48" s="47" t="str">
        <f t="shared" si="8"/>
        <v>0</v>
      </c>
      <c r="X48" s="59">
        <f t="shared" si="9"/>
        <v>0</v>
      </c>
    </row>
    <row r="49" spans="1:24" x14ac:dyDescent="0.25">
      <c r="A49" s="22">
        <v>47</v>
      </c>
      <c r="B49" s="18"/>
      <c r="C49" s="19"/>
      <c r="D49" s="19"/>
      <c r="E49" s="87"/>
      <c r="F49" s="24"/>
      <c r="G49" s="4"/>
      <c r="H49" s="4" t="e">
        <f t="shared" si="0"/>
        <v>#N/A</v>
      </c>
      <c r="I49" s="4" t="str">
        <f t="shared" si="1"/>
        <v>00</v>
      </c>
      <c r="J49" s="4" t="str">
        <f t="shared" si="2"/>
        <v>00</v>
      </c>
      <c r="K49" s="14" t="e">
        <f t="shared" si="3"/>
        <v>#N/A</v>
      </c>
      <c r="L49" s="17" t="e">
        <f t="shared" si="4"/>
        <v>#N/A</v>
      </c>
      <c r="M49" s="20" t="str">
        <f t="shared" si="5"/>
        <v/>
      </c>
      <c r="N49" s="21" t="str">
        <f t="shared" si="6"/>
        <v/>
      </c>
      <c r="O49" s="24"/>
      <c r="P49" s="24"/>
      <c r="T49" s="2" t="s">
        <v>141</v>
      </c>
      <c r="U49" s="82"/>
      <c r="V49" s="93">
        <f t="shared" si="7"/>
        <v>0</v>
      </c>
      <c r="W49" s="47" t="str">
        <f t="shared" si="8"/>
        <v>0</v>
      </c>
      <c r="X49" s="59">
        <f t="shared" si="9"/>
        <v>0</v>
      </c>
    </row>
    <row r="50" spans="1:24" x14ac:dyDescent="0.25">
      <c r="A50" s="22">
        <v>48</v>
      </c>
      <c r="B50" s="18"/>
      <c r="C50" s="19"/>
      <c r="D50" s="19"/>
      <c r="E50" s="87"/>
      <c r="F50" s="24"/>
      <c r="G50" s="4"/>
      <c r="H50" s="4" t="e">
        <f t="shared" si="0"/>
        <v>#N/A</v>
      </c>
      <c r="I50" s="4" t="str">
        <f t="shared" si="1"/>
        <v>00</v>
      </c>
      <c r="J50" s="4" t="str">
        <f t="shared" si="2"/>
        <v>00</v>
      </c>
      <c r="K50" s="14" t="e">
        <f t="shared" si="3"/>
        <v>#N/A</v>
      </c>
      <c r="L50" s="17" t="e">
        <f t="shared" si="4"/>
        <v>#N/A</v>
      </c>
      <c r="M50" s="20" t="str">
        <f t="shared" si="5"/>
        <v/>
      </c>
      <c r="N50" s="21" t="str">
        <f t="shared" si="6"/>
        <v/>
      </c>
      <c r="O50" s="24"/>
      <c r="P50" s="24"/>
      <c r="T50" s="2" t="s">
        <v>141</v>
      </c>
      <c r="U50" s="82"/>
      <c r="V50" s="93">
        <f t="shared" si="7"/>
        <v>0</v>
      </c>
      <c r="W50" s="47" t="str">
        <f t="shared" si="8"/>
        <v>0</v>
      </c>
      <c r="X50" s="59">
        <f t="shared" si="9"/>
        <v>0</v>
      </c>
    </row>
    <row r="51" spans="1:24" x14ac:dyDescent="0.25">
      <c r="A51" s="22">
        <v>49</v>
      </c>
      <c r="B51" s="18"/>
      <c r="C51" s="19"/>
      <c r="D51" s="19"/>
      <c r="E51" s="87"/>
      <c r="F51" s="24"/>
      <c r="G51" s="4"/>
      <c r="H51" s="4" t="e">
        <f t="shared" si="0"/>
        <v>#N/A</v>
      </c>
      <c r="I51" s="4" t="str">
        <f t="shared" si="1"/>
        <v>00</v>
      </c>
      <c r="J51" s="4" t="str">
        <f t="shared" si="2"/>
        <v>00</v>
      </c>
      <c r="K51" s="14" t="e">
        <f t="shared" si="3"/>
        <v>#N/A</v>
      </c>
      <c r="L51" s="17" t="e">
        <f t="shared" si="4"/>
        <v>#N/A</v>
      </c>
      <c r="M51" s="20" t="str">
        <f t="shared" si="5"/>
        <v/>
      </c>
      <c r="N51" s="21" t="str">
        <f t="shared" si="6"/>
        <v/>
      </c>
      <c r="O51" s="24"/>
      <c r="P51" s="24"/>
      <c r="T51" s="2" t="s">
        <v>141</v>
      </c>
      <c r="U51" s="82"/>
      <c r="V51" s="93">
        <f t="shared" si="7"/>
        <v>0</v>
      </c>
      <c r="W51" s="47" t="str">
        <f t="shared" si="8"/>
        <v>0</v>
      </c>
      <c r="X51" s="59">
        <f t="shared" si="9"/>
        <v>0</v>
      </c>
    </row>
    <row r="52" spans="1:24" x14ac:dyDescent="0.25">
      <c r="A52" s="22">
        <v>50</v>
      </c>
      <c r="B52" s="18"/>
      <c r="C52" s="19"/>
      <c r="D52" s="19"/>
      <c r="E52" s="87"/>
      <c r="F52" s="24"/>
      <c r="G52" s="4"/>
      <c r="H52" s="4" t="e">
        <f t="shared" si="0"/>
        <v>#N/A</v>
      </c>
      <c r="I52" s="4" t="str">
        <f t="shared" si="1"/>
        <v>00</v>
      </c>
      <c r="J52" s="4" t="str">
        <f t="shared" si="2"/>
        <v>00</v>
      </c>
      <c r="K52" s="14" t="e">
        <f t="shared" si="3"/>
        <v>#N/A</v>
      </c>
      <c r="L52" s="17" t="e">
        <f t="shared" si="4"/>
        <v>#N/A</v>
      </c>
      <c r="M52" s="20" t="str">
        <f t="shared" si="5"/>
        <v/>
      </c>
      <c r="N52" s="21" t="str">
        <f t="shared" si="6"/>
        <v/>
      </c>
      <c r="O52" s="24"/>
      <c r="P52" s="24"/>
      <c r="T52" s="2" t="s">
        <v>141</v>
      </c>
      <c r="U52" s="82"/>
      <c r="V52" s="93">
        <f t="shared" si="7"/>
        <v>0</v>
      </c>
      <c r="W52" s="47" t="str">
        <f t="shared" si="8"/>
        <v>0</v>
      </c>
      <c r="X52" s="59">
        <f t="shared" si="9"/>
        <v>0</v>
      </c>
    </row>
    <row r="53" spans="1:24" x14ac:dyDescent="0.25">
      <c r="A53" s="22">
        <v>51</v>
      </c>
      <c r="B53" s="18"/>
      <c r="C53" s="19"/>
      <c r="D53" s="19"/>
      <c r="E53" s="87"/>
      <c r="F53" s="24"/>
      <c r="G53" s="4"/>
      <c r="H53" s="4" t="e">
        <f t="shared" si="0"/>
        <v>#N/A</v>
      </c>
      <c r="I53" s="4" t="str">
        <f t="shared" si="1"/>
        <v>00</v>
      </c>
      <c r="J53" s="4" t="str">
        <f t="shared" si="2"/>
        <v>00</v>
      </c>
      <c r="K53" s="14" t="e">
        <f t="shared" si="3"/>
        <v>#N/A</v>
      </c>
      <c r="L53" s="17" t="e">
        <f t="shared" si="4"/>
        <v>#N/A</v>
      </c>
      <c r="M53" s="20" t="str">
        <f t="shared" si="5"/>
        <v/>
      </c>
      <c r="N53" s="21" t="str">
        <f t="shared" si="6"/>
        <v/>
      </c>
      <c r="O53" s="24"/>
      <c r="P53" s="24"/>
      <c r="T53" s="2" t="s">
        <v>141</v>
      </c>
      <c r="U53" s="82"/>
      <c r="V53" s="93">
        <f t="shared" si="7"/>
        <v>0</v>
      </c>
      <c r="W53" s="47" t="str">
        <f t="shared" si="8"/>
        <v>0</v>
      </c>
      <c r="X53" s="59">
        <f t="shared" si="9"/>
        <v>0</v>
      </c>
    </row>
    <row r="54" spans="1:24" x14ac:dyDescent="0.25">
      <c r="A54" s="22">
        <v>52</v>
      </c>
      <c r="B54" s="18"/>
      <c r="C54" s="19"/>
      <c r="D54" s="19"/>
      <c r="E54" s="87"/>
      <c r="F54" s="24"/>
      <c r="G54" s="4"/>
      <c r="H54" s="4" t="e">
        <f t="shared" si="0"/>
        <v>#N/A</v>
      </c>
      <c r="I54" s="4" t="str">
        <f t="shared" si="1"/>
        <v>00</v>
      </c>
      <c r="J54" s="4" t="str">
        <f t="shared" si="2"/>
        <v>00</v>
      </c>
      <c r="K54" s="14" t="e">
        <f t="shared" si="3"/>
        <v>#N/A</v>
      </c>
      <c r="L54" s="17" t="e">
        <f t="shared" si="4"/>
        <v>#N/A</v>
      </c>
      <c r="M54" s="20" t="str">
        <f t="shared" si="5"/>
        <v/>
      </c>
      <c r="N54" s="21" t="str">
        <f t="shared" si="6"/>
        <v/>
      </c>
      <c r="O54" s="24"/>
      <c r="P54" s="24"/>
      <c r="T54" s="2" t="s">
        <v>141</v>
      </c>
      <c r="U54" s="82"/>
      <c r="V54" s="93">
        <f t="shared" si="7"/>
        <v>0</v>
      </c>
      <c r="W54" s="47" t="str">
        <f t="shared" si="8"/>
        <v>0</v>
      </c>
      <c r="X54" s="59">
        <f t="shared" si="9"/>
        <v>0</v>
      </c>
    </row>
    <row r="55" spans="1:24" x14ac:dyDescent="0.25">
      <c r="A55" s="22">
        <v>53</v>
      </c>
      <c r="B55" s="18"/>
      <c r="C55" s="19"/>
      <c r="D55" s="19"/>
      <c r="E55" s="87"/>
      <c r="F55" s="24"/>
      <c r="G55" s="4"/>
      <c r="H55" s="4" t="e">
        <f t="shared" si="0"/>
        <v>#N/A</v>
      </c>
      <c r="I55" s="4" t="str">
        <f t="shared" si="1"/>
        <v>00</v>
      </c>
      <c r="J55" s="4" t="str">
        <f t="shared" si="2"/>
        <v>00</v>
      </c>
      <c r="K55" s="14" t="e">
        <f t="shared" si="3"/>
        <v>#N/A</v>
      </c>
      <c r="L55" s="17" t="e">
        <f t="shared" si="4"/>
        <v>#N/A</v>
      </c>
      <c r="M55" s="20" t="str">
        <f t="shared" si="5"/>
        <v/>
      </c>
      <c r="N55" s="21" t="str">
        <f t="shared" si="6"/>
        <v/>
      </c>
      <c r="O55" s="24"/>
      <c r="P55" s="24"/>
      <c r="T55" s="2" t="s">
        <v>141</v>
      </c>
      <c r="U55" s="82"/>
      <c r="V55" s="93">
        <f t="shared" si="7"/>
        <v>0</v>
      </c>
      <c r="W55" s="47" t="str">
        <f t="shared" si="8"/>
        <v>0</v>
      </c>
      <c r="X55" s="59">
        <f t="shared" si="9"/>
        <v>0</v>
      </c>
    </row>
    <row r="56" spans="1:24" x14ac:dyDescent="0.25">
      <c r="A56" s="22">
        <v>54</v>
      </c>
      <c r="B56" s="18"/>
      <c r="C56" s="19"/>
      <c r="D56" s="19"/>
      <c r="E56" s="87"/>
      <c r="F56" s="24"/>
      <c r="G56" s="4"/>
      <c r="H56" s="4" t="e">
        <f t="shared" si="0"/>
        <v>#N/A</v>
      </c>
      <c r="I56" s="4" t="str">
        <f t="shared" si="1"/>
        <v>00</v>
      </c>
      <c r="J56" s="4" t="str">
        <f t="shared" si="2"/>
        <v>00</v>
      </c>
      <c r="K56" s="14" t="e">
        <f t="shared" si="3"/>
        <v>#N/A</v>
      </c>
      <c r="L56" s="17" t="e">
        <f t="shared" si="4"/>
        <v>#N/A</v>
      </c>
      <c r="M56" s="20" t="str">
        <f t="shared" si="5"/>
        <v/>
      </c>
      <c r="N56" s="21" t="str">
        <f t="shared" si="6"/>
        <v/>
      </c>
      <c r="O56" s="24"/>
      <c r="P56" s="24"/>
      <c r="T56" s="2" t="s">
        <v>141</v>
      </c>
      <c r="U56" s="82"/>
      <c r="V56" s="93">
        <f t="shared" si="7"/>
        <v>0</v>
      </c>
      <c r="W56" s="47" t="str">
        <f t="shared" si="8"/>
        <v>0</v>
      </c>
      <c r="X56" s="59">
        <f t="shared" si="9"/>
        <v>0</v>
      </c>
    </row>
    <row r="57" spans="1:24" x14ac:dyDescent="0.25">
      <c r="A57" s="22">
        <v>55</v>
      </c>
      <c r="B57" s="18"/>
      <c r="C57" s="19"/>
      <c r="D57" s="19"/>
      <c r="E57" s="87"/>
      <c r="F57" s="24"/>
      <c r="G57" s="4"/>
      <c r="H57" s="4" t="e">
        <f t="shared" si="0"/>
        <v>#N/A</v>
      </c>
      <c r="I57" s="4" t="str">
        <f t="shared" si="1"/>
        <v>00</v>
      </c>
      <c r="J57" s="4" t="str">
        <f t="shared" si="2"/>
        <v>00</v>
      </c>
      <c r="K57" s="14" t="e">
        <f t="shared" si="3"/>
        <v>#N/A</v>
      </c>
      <c r="L57" s="17" t="e">
        <f t="shared" si="4"/>
        <v>#N/A</v>
      </c>
      <c r="M57" s="20" t="str">
        <f t="shared" si="5"/>
        <v/>
      </c>
      <c r="N57" s="21" t="str">
        <f t="shared" si="6"/>
        <v/>
      </c>
      <c r="O57" s="24"/>
      <c r="P57" s="24"/>
      <c r="T57" s="2" t="s">
        <v>141</v>
      </c>
      <c r="U57" s="82"/>
      <c r="V57" s="93">
        <f t="shared" si="7"/>
        <v>0</v>
      </c>
      <c r="W57" s="47" t="str">
        <f t="shared" si="8"/>
        <v>0</v>
      </c>
      <c r="X57" s="59">
        <f t="shared" si="9"/>
        <v>0</v>
      </c>
    </row>
    <row r="58" spans="1:24" x14ac:dyDescent="0.25">
      <c r="A58" s="22">
        <v>56</v>
      </c>
      <c r="B58" s="18"/>
      <c r="C58" s="19"/>
      <c r="D58" s="19"/>
      <c r="E58" s="87"/>
      <c r="F58" s="24"/>
      <c r="G58" s="4"/>
      <c r="H58" s="4" t="e">
        <f t="shared" si="0"/>
        <v>#N/A</v>
      </c>
      <c r="I58" s="4" t="str">
        <f t="shared" si="1"/>
        <v>00</v>
      </c>
      <c r="J58" s="4" t="str">
        <f t="shared" si="2"/>
        <v>00</v>
      </c>
      <c r="K58" s="14" t="e">
        <f t="shared" si="3"/>
        <v>#N/A</v>
      </c>
      <c r="L58" s="17" t="e">
        <f t="shared" si="4"/>
        <v>#N/A</v>
      </c>
      <c r="M58" s="20" t="str">
        <f t="shared" si="5"/>
        <v/>
      </c>
      <c r="N58" s="21" t="str">
        <f t="shared" si="6"/>
        <v/>
      </c>
      <c r="O58" s="24"/>
      <c r="P58" s="24"/>
      <c r="T58" s="2" t="s">
        <v>141</v>
      </c>
      <c r="U58" s="82"/>
      <c r="V58" s="93">
        <f t="shared" si="7"/>
        <v>0</v>
      </c>
      <c r="W58" s="47" t="str">
        <f t="shared" si="8"/>
        <v>0</v>
      </c>
      <c r="X58" s="59">
        <f t="shared" si="9"/>
        <v>0</v>
      </c>
    </row>
    <row r="59" spans="1:24" x14ac:dyDescent="0.25">
      <c r="A59" s="22">
        <v>57</v>
      </c>
      <c r="B59" s="18"/>
      <c r="C59" s="19"/>
      <c r="D59" s="19"/>
      <c r="E59" s="87"/>
      <c r="F59" s="24"/>
      <c r="G59" s="4"/>
      <c r="H59" s="4" t="e">
        <f t="shared" si="0"/>
        <v>#N/A</v>
      </c>
      <c r="I59" s="4" t="str">
        <f t="shared" si="1"/>
        <v>00</v>
      </c>
      <c r="J59" s="4" t="str">
        <f t="shared" si="2"/>
        <v>00</v>
      </c>
      <c r="K59" s="14" t="e">
        <f t="shared" si="3"/>
        <v>#N/A</v>
      </c>
      <c r="L59" s="17" t="e">
        <f t="shared" si="4"/>
        <v>#N/A</v>
      </c>
      <c r="M59" s="20" t="str">
        <f t="shared" si="5"/>
        <v/>
      </c>
      <c r="N59" s="21" t="str">
        <f t="shared" si="6"/>
        <v/>
      </c>
      <c r="O59" s="24"/>
      <c r="P59" s="24"/>
      <c r="T59" s="2" t="s">
        <v>141</v>
      </c>
      <c r="U59" s="82"/>
      <c r="V59" s="93">
        <f t="shared" si="7"/>
        <v>0</v>
      </c>
      <c r="W59" s="47" t="str">
        <f t="shared" si="8"/>
        <v>0</v>
      </c>
      <c r="X59" s="59">
        <f t="shared" si="9"/>
        <v>0</v>
      </c>
    </row>
    <row r="60" spans="1:24" x14ac:dyDescent="0.25">
      <c r="A60" s="22">
        <v>58</v>
      </c>
      <c r="B60" s="18"/>
      <c r="C60" s="19"/>
      <c r="D60" s="19"/>
      <c r="E60" s="87"/>
      <c r="F60" s="24"/>
      <c r="G60" s="4"/>
      <c r="H60" s="4" t="e">
        <f t="shared" si="0"/>
        <v>#N/A</v>
      </c>
      <c r="I60" s="4" t="str">
        <f t="shared" si="1"/>
        <v>00</v>
      </c>
      <c r="J60" s="4" t="str">
        <f t="shared" si="2"/>
        <v>00</v>
      </c>
      <c r="K60" s="14" t="e">
        <f t="shared" si="3"/>
        <v>#N/A</v>
      </c>
      <c r="L60" s="17" t="e">
        <f t="shared" si="4"/>
        <v>#N/A</v>
      </c>
      <c r="M60" s="20" t="str">
        <f t="shared" si="5"/>
        <v/>
      </c>
      <c r="N60" s="21" t="str">
        <f t="shared" si="6"/>
        <v/>
      </c>
      <c r="O60" s="24"/>
      <c r="P60" s="24"/>
      <c r="T60" s="2" t="s">
        <v>141</v>
      </c>
      <c r="U60" s="82"/>
      <c r="V60" s="93">
        <f t="shared" si="7"/>
        <v>0</v>
      </c>
      <c r="W60" s="47" t="str">
        <f t="shared" si="8"/>
        <v>0</v>
      </c>
      <c r="X60" s="59">
        <f t="shared" si="9"/>
        <v>0</v>
      </c>
    </row>
    <row r="61" spans="1:24" x14ac:dyDescent="0.25">
      <c r="A61" s="22">
        <v>59</v>
      </c>
      <c r="B61" s="18"/>
      <c r="C61" s="19"/>
      <c r="D61" s="19"/>
      <c r="E61" s="87"/>
      <c r="F61" s="24"/>
      <c r="G61" s="4"/>
      <c r="H61" s="4" t="e">
        <f t="shared" si="0"/>
        <v>#N/A</v>
      </c>
      <c r="I61" s="4" t="str">
        <f t="shared" si="1"/>
        <v>00</v>
      </c>
      <c r="J61" s="4" t="str">
        <f t="shared" si="2"/>
        <v>00</v>
      </c>
      <c r="K61" s="14" t="e">
        <f t="shared" si="3"/>
        <v>#N/A</v>
      </c>
      <c r="L61" s="17" t="e">
        <f t="shared" si="4"/>
        <v>#N/A</v>
      </c>
      <c r="M61" s="20" t="str">
        <f t="shared" si="5"/>
        <v/>
      </c>
      <c r="N61" s="21" t="str">
        <f t="shared" si="6"/>
        <v/>
      </c>
      <c r="O61" s="24"/>
      <c r="P61" s="24"/>
      <c r="T61" s="2" t="s">
        <v>141</v>
      </c>
      <c r="U61" s="82"/>
      <c r="V61" s="93">
        <f t="shared" si="7"/>
        <v>0</v>
      </c>
      <c r="W61" s="47" t="str">
        <f t="shared" si="8"/>
        <v>0</v>
      </c>
      <c r="X61" s="59">
        <f t="shared" si="9"/>
        <v>0</v>
      </c>
    </row>
    <row r="62" spans="1:24" x14ac:dyDescent="0.25">
      <c r="A62" s="22">
        <v>60</v>
      </c>
      <c r="B62" s="18"/>
      <c r="C62" s="19"/>
      <c r="D62" s="19"/>
      <c r="E62" s="87"/>
      <c r="F62" s="24"/>
      <c r="G62" s="4"/>
      <c r="H62" s="4" t="e">
        <f t="shared" si="0"/>
        <v>#N/A</v>
      </c>
      <c r="I62" s="4" t="str">
        <f t="shared" si="1"/>
        <v>00</v>
      </c>
      <c r="J62" s="4" t="str">
        <f t="shared" si="2"/>
        <v>00</v>
      </c>
      <c r="K62" s="14" t="e">
        <f t="shared" si="3"/>
        <v>#N/A</v>
      </c>
      <c r="L62" s="17" t="e">
        <f t="shared" si="4"/>
        <v>#N/A</v>
      </c>
      <c r="M62" s="20" t="str">
        <f t="shared" si="5"/>
        <v/>
      </c>
      <c r="N62" s="21" t="str">
        <f t="shared" si="6"/>
        <v/>
      </c>
      <c r="O62" s="24"/>
      <c r="P62" s="24"/>
      <c r="T62" s="2" t="s">
        <v>141</v>
      </c>
      <c r="U62" s="82"/>
      <c r="V62" s="93">
        <f t="shared" si="7"/>
        <v>0</v>
      </c>
      <c r="W62" s="47" t="str">
        <f t="shared" si="8"/>
        <v>0</v>
      </c>
      <c r="X62" s="59">
        <f t="shared" si="9"/>
        <v>0</v>
      </c>
    </row>
    <row r="63" spans="1:24" x14ac:dyDescent="0.25">
      <c r="A63" s="22">
        <v>61</v>
      </c>
      <c r="B63" s="18"/>
      <c r="C63" s="19"/>
      <c r="D63" s="19"/>
      <c r="E63" s="87"/>
      <c r="F63" s="24"/>
      <c r="G63" s="4"/>
      <c r="H63" s="4" t="e">
        <f t="shared" si="0"/>
        <v>#N/A</v>
      </c>
      <c r="I63" s="4" t="str">
        <f t="shared" si="1"/>
        <v>00</v>
      </c>
      <c r="J63" s="4" t="str">
        <f t="shared" si="2"/>
        <v>00</v>
      </c>
      <c r="K63" s="14" t="e">
        <f t="shared" si="3"/>
        <v>#N/A</v>
      </c>
      <c r="L63" s="17" t="e">
        <f t="shared" si="4"/>
        <v>#N/A</v>
      </c>
      <c r="M63" s="20" t="str">
        <f t="shared" si="5"/>
        <v/>
      </c>
      <c r="N63" s="21" t="str">
        <f t="shared" si="6"/>
        <v/>
      </c>
      <c r="O63" s="24"/>
      <c r="P63" s="24"/>
      <c r="T63" s="2" t="s">
        <v>141</v>
      </c>
      <c r="U63" s="82"/>
      <c r="V63" s="93">
        <f t="shared" si="7"/>
        <v>0</v>
      </c>
      <c r="W63" s="47" t="str">
        <f t="shared" si="8"/>
        <v>0</v>
      </c>
      <c r="X63" s="59">
        <f t="shared" si="9"/>
        <v>0</v>
      </c>
    </row>
    <row r="64" spans="1:24" x14ac:dyDescent="0.25">
      <c r="A64" s="22">
        <v>62</v>
      </c>
      <c r="B64" s="18"/>
      <c r="C64" s="19"/>
      <c r="D64" s="19"/>
      <c r="E64" s="87"/>
      <c r="F64" s="24"/>
      <c r="G64" s="4"/>
      <c r="H64" s="4" t="e">
        <f t="shared" si="0"/>
        <v>#N/A</v>
      </c>
      <c r="I64" s="4" t="str">
        <f t="shared" si="1"/>
        <v>00</v>
      </c>
      <c r="J64" s="4" t="str">
        <f t="shared" si="2"/>
        <v>00</v>
      </c>
      <c r="K64" s="14" t="e">
        <f t="shared" si="3"/>
        <v>#N/A</v>
      </c>
      <c r="L64" s="17" t="e">
        <f t="shared" si="4"/>
        <v>#N/A</v>
      </c>
      <c r="M64" s="20" t="str">
        <f t="shared" si="5"/>
        <v/>
      </c>
      <c r="N64" s="21" t="str">
        <f t="shared" si="6"/>
        <v/>
      </c>
      <c r="O64" s="24"/>
      <c r="P64" s="24"/>
      <c r="T64" s="2" t="s">
        <v>141</v>
      </c>
      <c r="U64" s="82"/>
      <c r="V64" s="93">
        <f t="shared" si="7"/>
        <v>0</v>
      </c>
      <c r="W64" s="47" t="str">
        <f t="shared" si="8"/>
        <v>0</v>
      </c>
      <c r="X64" s="59">
        <f t="shared" si="9"/>
        <v>0</v>
      </c>
    </row>
    <row r="65" spans="1:24" x14ac:dyDescent="0.25">
      <c r="A65" s="22">
        <v>63</v>
      </c>
      <c r="B65" s="18"/>
      <c r="C65" s="19"/>
      <c r="D65" s="19"/>
      <c r="E65" s="87"/>
      <c r="F65" s="24"/>
      <c r="G65" s="4"/>
      <c r="H65" s="4" t="e">
        <f t="shared" si="0"/>
        <v>#N/A</v>
      </c>
      <c r="I65" s="4" t="str">
        <f t="shared" si="1"/>
        <v>00</v>
      </c>
      <c r="J65" s="4" t="str">
        <f t="shared" si="2"/>
        <v>00</v>
      </c>
      <c r="K65" s="14" t="e">
        <f t="shared" si="3"/>
        <v>#N/A</v>
      </c>
      <c r="L65" s="17" t="e">
        <f t="shared" si="4"/>
        <v>#N/A</v>
      </c>
      <c r="M65" s="20" t="str">
        <f t="shared" si="5"/>
        <v/>
      </c>
      <c r="N65" s="21" t="str">
        <f t="shared" si="6"/>
        <v/>
      </c>
      <c r="O65" s="24"/>
      <c r="P65" s="24"/>
      <c r="T65" s="2" t="s">
        <v>141</v>
      </c>
      <c r="U65" s="82"/>
      <c r="V65" s="93">
        <f t="shared" si="7"/>
        <v>0</v>
      </c>
      <c r="W65" s="47" t="str">
        <f t="shared" si="8"/>
        <v>0</v>
      </c>
      <c r="X65" s="59">
        <f t="shared" si="9"/>
        <v>0</v>
      </c>
    </row>
    <row r="66" spans="1:24" x14ac:dyDescent="0.25">
      <c r="A66" s="22">
        <v>64</v>
      </c>
      <c r="B66" s="18"/>
      <c r="C66" s="19"/>
      <c r="D66" s="19"/>
      <c r="E66" s="87"/>
      <c r="F66" s="24"/>
      <c r="G66" s="4"/>
      <c r="H66" s="4" t="e">
        <f t="shared" si="0"/>
        <v>#N/A</v>
      </c>
      <c r="I66" s="4" t="str">
        <f t="shared" si="1"/>
        <v>00</v>
      </c>
      <c r="J66" s="4" t="str">
        <f t="shared" si="2"/>
        <v>00</v>
      </c>
      <c r="K66" s="14" t="e">
        <f t="shared" si="3"/>
        <v>#N/A</v>
      </c>
      <c r="L66" s="17" t="e">
        <f t="shared" si="4"/>
        <v>#N/A</v>
      </c>
      <c r="M66" s="20" t="str">
        <f t="shared" si="5"/>
        <v/>
      </c>
      <c r="N66" s="21" t="str">
        <f t="shared" si="6"/>
        <v/>
      </c>
      <c r="O66" s="24"/>
      <c r="P66" s="24"/>
      <c r="T66" s="2" t="s">
        <v>141</v>
      </c>
      <c r="U66" s="82"/>
      <c r="V66" s="93">
        <f t="shared" si="7"/>
        <v>0</v>
      </c>
      <c r="W66" s="47" t="str">
        <f t="shared" si="8"/>
        <v>0</v>
      </c>
      <c r="X66" s="59">
        <f t="shared" si="9"/>
        <v>0</v>
      </c>
    </row>
    <row r="67" spans="1:24" x14ac:dyDescent="0.25">
      <c r="A67" s="22">
        <v>65</v>
      </c>
      <c r="B67" s="18"/>
      <c r="C67" s="19"/>
      <c r="D67" s="19"/>
      <c r="E67" s="87"/>
      <c r="F67" s="24"/>
      <c r="G67" s="4"/>
      <c r="H67" s="4" t="e">
        <f t="shared" ref="H67:H130" si="10">VLOOKUP(B67,$F$2:$G$39,2,FALSE)</f>
        <v>#N/A</v>
      </c>
      <c r="I67" s="4" t="str">
        <f t="shared" ref="I67:I130" si="11">IF(ISERROR(VLOOKUP(C67,F:G,2,FALSE)),"00",(VLOOKUP(C67,F:G,2,FALSE)))</f>
        <v>00</v>
      </c>
      <c r="J67" s="4" t="str">
        <f t="shared" ref="J67:J130" si="12">IF(ISERROR(VLOOKUP(D67,F:G,2,FALSE)),"00",(VLOOKUP(D67,F:G,2,FALSE)))</f>
        <v>00</v>
      </c>
      <c r="K67" s="14" t="e">
        <f t="shared" si="3"/>
        <v>#N/A</v>
      </c>
      <c r="L67" s="17" t="e">
        <f t="shared" ref="L67:L130" si="13">IF(LEN(K67)&gt;8,H67,K67)</f>
        <v>#N/A</v>
      </c>
      <c r="M67" s="20" t="str">
        <f t="shared" ref="M67:M130" si="14">IF(ISERROR(VLOOKUP(L67,L:L,1,FALSE)),"",(VLOOKUP(L67,L:L,1,FALSE)))</f>
        <v/>
      </c>
      <c r="N67" s="21" t="str">
        <f t="shared" ref="N67:N130" si="15">IF(ISERROR(VLOOKUP(E67,E:E,1,FALSE)),"",(VLOOKUP(E67,E:E,1,FALSE)))</f>
        <v/>
      </c>
      <c r="O67" s="24"/>
      <c r="P67" s="24"/>
      <c r="T67" s="2" t="s">
        <v>141</v>
      </c>
      <c r="U67" s="82"/>
      <c r="V67" s="93">
        <f t="shared" si="7"/>
        <v>0</v>
      </c>
      <c r="W67" s="47" t="str">
        <f t="shared" si="8"/>
        <v>0</v>
      </c>
      <c r="X67" s="59">
        <f t="shared" si="9"/>
        <v>0</v>
      </c>
    </row>
    <row r="68" spans="1:24" x14ac:dyDescent="0.25">
      <c r="A68" s="22">
        <v>66</v>
      </c>
      <c r="B68" s="18"/>
      <c r="C68" s="19"/>
      <c r="D68" s="19"/>
      <c r="E68" s="87"/>
      <c r="F68" s="24"/>
      <c r="G68" s="4"/>
      <c r="H68" s="4" t="e">
        <f t="shared" si="10"/>
        <v>#N/A</v>
      </c>
      <c r="I68" s="4" t="str">
        <f t="shared" si="11"/>
        <v>00</v>
      </c>
      <c r="J68" s="4" t="str">
        <f t="shared" si="12"/>
        <v>00</v>
      </c>
      <c r="K68" s="14" t="e">
        <f t="shared" ref="K68:K131" si="16">CONCATENATE(H68,I68,J68)</f>
        <v>#N/A</v>
      </c>
      <c r="L68" s="17" t="e">
        <f t="shared" si="13"/>
        <v>#N/A</v>
      </c>
      <c r="M68" s="20" t="str">
        <f t="shared" si="14"/>
        <v/>
      </c>
      <c r="N68" s="21" t="str">
        <f t="shared" si="15"/>
        <v/>
      </c>
      <c r="O68" s="24"/>
      <c r="P68" s="24"/>
      <c r="T68" s="2" t="s">
        <v>141</v>
      </c>
      <c r="U68" s="82"/>
      <c r="V68" s="93">
        <f t="shared" ref="V68:V131" si="17">IF(ISERROR(VLOOKUP(U67,U:U,1,FALSE)),"",(VLOOKUP(U67,U:U,1,FALSE)))</f>
        <v>0</v>
      </c>
      <c r="W68" s="47" t="str">
        <f t="shared" ref="W68:W131" si="18">BIN2HEX(V68)</f>
        <v>0</v>
      </c>
      <c r="X68" s="59">
        <f t="shared" ref="X68:X131" si="19">BIN2DEC(V68)</f>
        <v>0</v>
      </c>
    </row>
    <row r="69" spans="1:24" x14ac:dyDescent="0.25">
      <c r="A69" s="22">
        <v>67</v>
      </c>
      <c r="B69" s="18"/>
      <c r="C69" s="19"/>
      <c r="D69" s="19"/>
      <c r="E69" s="87"/>
      <c r="F69" s="24"/>
      <c r="G69" s="4"/>
      <c r="H69" s="4" t="e">
        <f t="shared" si="10"/>
        <v>#N/A</v>
      </c>
      <c r="I69" s="4" t="str">
        <f t="shared" si="11"/>
        <v>00</v>
      </c>
      <c r="J69" s="4" t="str">
        <f t="shared" si="12"/>
        <v>00</v>
      </c>
      <c r="K69" s="14" t="e">
        <f t="shared" si="16"/>
        <v>#N/A</v>
      </c>
      <c r="L69" s="17" t="e">
        <f t="shared" si="13"/>
        <v>#N/A</v>
      </c>
      <c r="M69" s="20" t="str">
        <f t="shared" si="14"/>
        <v/>
      </c>
      <c r="N69" s="21" t="str">
        <f t="shared" si="15"/>
        <v/>
      </c>
      <c r="O69" s="24"/>
      <c r="P69" s="24"/>
      <c r="T69" s="2" t="s">
        <v>141</v>
      </c>
      <c r="U69" s="82"/>
      <c r="V69" s="93">
        <f t="shared" si="17"/>
        <v>0</v>
      </c>
      <c r="W69" s="47" t="str">
        <f t="shared" si="18"/>
        <v>0</v>
      </c>
      <c r="X69" s="59">
        <f t="shared" si="19"/>
        <v>0</v>
      </c>
    </row>
    <row r="70" spans="1:24" x14ac:dyDescent="0.25">
      <c r="A70" s="22">
        <v>68</v>
      </c>
      <c r="B70" s="18"/>
      <c r="C70" s="19"/>
      <c r="D70" s="19"/>
      <c r="E70" s="87"/>
      <c r="F70" s="24"/>
      <c r="G70" s="4"/>
      <c r="H70" s="4" t="e">
        <f t="shared" si="10"/>
        <v>#N/A</v>
      </c>
      <c r="I70" s="4" t="str">
        <f t="shared" si="11"/>
        <v>00</v>
      </c>
      <c r="J70" s="4" t="str">
        <f t="shared" si="12"/>
        <v>00</v>
      </c>
      <c r="K70" s="14" t="e">
        <f t="shared" si="16"/>
        <v>#N/A</v>
      </c>
      <c r="L70" s="17" t="e">
        <f t="shared" si="13"/>
        <v>#N/A</v>
      </c>
      <c r="M70" s="20" t="str">
        <f t="shared" si="14"/>
        <v/>
      </c>
      <c r="N70" s="21" t="str">
        <f t="shared" si="15"/>
        <v/>
      </c>
      <c r="O70" s="24"/>
      <c r="P70" s="24"/>
      <c r="T70" s="2" t="s">
        <v>141</v>
      </c>
      <c r="U70" s="82"/>
      <c r="V70" s="93">
        <f t="shared" si="17"/>
        <v>0</v>
      </c>
      <c r="W70" s="47" t="str">
        <f t="shared" si="18"/>
        <v>0</v>
      </c>
      <c r="X70" s="59">
        <f t="shared" si="19"/>
        <v>0</v>
      </c>
    </row>
    <row r="71" spans="1:24" x14ac:dyDescent="0.25">
      <c r="A71" s="22">
        <v>69</v>
      </c>
      <c r="B71" s="18"/>
      <c r="C71" s="19"/>
      <c r="D71" s="19"/>
      <c r="E71" s="87"/>
      <c r="F71" s="24"/>
      <c r="G71" s="4"/>
      <c r="H71" s="4" t="e">
        <f t="shared" si="10"/>
        <v>#N/A</v>
      </c>
      <c r="I71" s="4" t="str">
        <f t="shared" si="11"/>
        <v>00</v>
      </c>
      <c r="J71" s="4" t="str">
        <f t="shared" si="12"/>
        <v>00</v>
      </c>
      <c r="K71" s="14" t="e">
        <f t="shared" si="16"/>
        <v>#N/A</v>
      </c>
      <c r="L71" s="17" t="e">
        <f t="shared" si="13"/>
        <v>#N/A</v>
      </c>
      <c r="M71" s="20" t="str">
        <f t="shared" si="14"/>
        <v/>
      </c>
      <c r="N71" s="21" t="str">
        <f t="shared" si="15"/>
        <v/>
      </c>
      <c r="O71" s="24"/>
      <c r="P71" s="24"/>
      <c r="T71" s="2" t="s">
        <v>141</v>
      </c>
      <c r="U71" s="82"/>
      <c r="V71" s="93">
        <f t="shared" si="17"/>
        <v>0</v>
      </c>
      <c r="W71" s="47" t="str">
        <f t="shared" si="18"/>
        <v>0</v>
      </c>
      <c r="X71" s="59">
        <f t="shared" si="19"/>
        <v>0</v>
      </c>
    </row>
    <row r="72" spans="1:24" x14ac:dyDescent="0.25">
      <c r="A72" s="22">
        <v>70</v>
      </c>
      <c r="B72" s="18"/>
      <c r="C72" s="19"/>
      <c r="D72" s="19"/>
      <c r="E72" s="87"/>
      <c r="F72" s="24"/>
      <c r="G72" s="4"/>
      <c r="H72" s="4" t="e">
        <f t="shared" si="10"/>
        <v>#N/A</v>
      </c>
      <c r="I72" s="4" t="str">
        <f t="shared" si="11"/>
        <v>00</v>
      </c>
      <c r="J72" s="4" t="str">
        <f t="shared" si="12"/>
        <v>00</v>
      </c>
      <c r="K72" s="14" t="e">
        <f t="shared" si="16"/>
        <v>#N/A</v>
      </c>
      <c r="L72" s="17" t="e">
        <f t="shared" si="13"/>
        <v>#N/A</v>
      </c>
      <c r="M72" s="20" t="str">
        <f t="shared" si="14"/>
        <v/>
      </c>
      <c r="N72" s="21" t="str">
        <f t="shared" si="15"/>
        <v/>
      </c>
      <c r="O72" s="24"/>
      <c r="P72" s="24"/>
      <c r="T72" s="2" t="s">
        <v>141</v>
      </c>
      <c r="U72" s="82"/>
      <c r="V72" s="93">
        <f t="shared" si="17"/>
        <v>0</v>
      </c>
      <c r="W72" s="47" t="str">
        <f t="shared" si="18"/>
        <v>0</v>
      </c>
      <c r="X72" s="59">
        <f t="shared" si="19"/>
        <v>0</v>
      </c>
    </row>
    <row r="73" spans="1:24" x14ac:dyDescent="0.25">
      <c r="A73" s="22">
        <v>71</v>
      </c>
      <c r="B73" s="18"/>
      <c r="C73" s="19"/>
      <c r="D73" s="19"/>
      <c r="E73" s="87"/>
      <c r="F73" s="24"/>
      <c r="G73" s="4"/>
      <c r="H73" s="4" t="e">
        <f t="shared" si="10"/>
        <v>#N/A</v>
      </c>
      <c r="I73" s="4" t="str">
        <f t="shared" si="11"/>
        <v>00</v>
      </c>
      <c r="J73" s="4" t="str">
        <f t="shared" si="12"/>
        <v>00</v>
      </c>
      <c r="K73" s="14" t="e">
        <f t="shared" si="16"/>
        <v>#N/A</v>
      </c>
      <c r="L73" s="17" t="e">
        <f t="shared" si="13"/>
        <v>#N/A</v>
      </c>
      <c r="M73" s="20" t="str">
        <f t="shared" si="14"/>
        <v/>
      </c>
      <c r="N73" s="21" t="str">
        <f t="shared" si="15"/>
        <v/>
      </c>
      <c r="O73" s="24"/>
      <c r="P73" s="24"/>
      <c r="T73" s="2" t="s">
        <v>141</v>
      </c>
      <c r="U73" s="82"/>
      <c r="V73" s="93">
        <f t="shared" si="17"/>
        <v>0</v>
      </c>
      <c r="W73" s="47" t="str">
        <f t="shared" si="18"/>
        <v>0</v>
      </c>
      <c r="X73" s="59">
        <f t="shared" si="19"/>
        <v>0</v>
      </c>
    </row>
    <row r="74" spans="1:24" x14ac:dyDescent="0.25">
      <c r="A74" s="22">
        <v>72</v>
      </c>
      <c r="B74" s="18"/>
      <c r="C74" s="19"/>
      <c r="D74" s="19"/>
      <c r="E74" s="87"/>
      <c r="F74" s="24"/>
      <c r="G74" s="4"/>
      <c r="H74" s="4" t="e">
        <f t="shared" si="10"/>
        <v>#N/A</v>
      </c>
      <c r="I74" s="4" t="str">
        <f t="shared" si="11"/>
        <v>00</v>
      </c>
      <c r="J74" s="4" t="str">
        <f t="shared" si="12"/>
        <v>00</v>
      </c>
      <c r="K74" s="14" t="e">
        <f t="shared" si="16"/>
        <v>#N/A</v>
      </c>
      <c r="L74" s="17" t="e">
        <f t="shared" si="13"/>
        <v>#N/A</v>
      </c>
      <c r="M74" s="20" t="str">
        <f t="shared" si="14"/>
        <v/>
      </c>
      <c r="N74" s="21" t="str">
        <f t="shared" si="15"/>
        <v/>
      </c>
      <c r="O74" s="24"/>
      <c r="P74" s="24"/>
      <c r="T74" s="2" t="s">
        <v>141</v>
      </c>
      <c r="U74" s="82"/>
      <c r="V74" s="93">
        <f t="shared" si="17"/>
        <v>0</v>
      </c>
      <c r="W74" s="47" t="str">
        <f t="shared" si="18"/>
        <v>0</v>
      </c>
      <c r="X74" s="59">
        <f t="shared" si="19"/>
        <v>0</v>
      </c>
    </row>
    <row r="75" spans="1:24" x14ac:dyDescent="0.25">
      <c r="A75" s="22">
        <v>73</v>
      </c>
      <c r="B75" s="18"/>
      <c r="C75" s="19"/>
      <c r="D75" s="19"/>
      <c r="E75" s="87"/>
      <c r="F75" s="24"/>
      <c r="G75" s="4"/>
      <c r="H75" s="4" t="e">
        <f t="shared" si="10"/>
        <v>#N/A</v>
      </c>
      <c r="I75" s="4" t="str">
        <f t="shared" si="11"/>
        <v>00</v>
      </c>
      <c r="J75" s="4" t="str">
        <f t="shared" si="12"/>
        <v>00</v>
      </c>
      <c r="K75" s="14" t="e">
        <f t="shared" si="16"/>
        <v>#N/A</v>
      </c>
      <c r="L75" s="17" t="e">
        <f t="shared" si="13"/>
        <v>#N/A</v>
      </c>
      <c r="M75" s="20" t="str">
        <f t="shared" si="14"/>
        <v/>
      </c>
      <c r="N75" s="21" t="str">
        <f t="shared" si="15"/>
        <v/>
      </c>
      <c r="O75" s="24"/>
      <c r="P75" s="24"/>
      <c r="T75" s="2" t="s">
        <v>141</v>
      </c>
      <c r="U75" s="82"/>
      <c r="V75" s="93">
        <f t="shared" si="17"/>
        <v>0</v>
      </c>
      <c r="W75" s="47" t="str">
        <f t="shared" si="18"/>
        <v>0</v>
      </c>
      <c r="X75" s="59">
        <f t="shared" si="19"/>
        <v>0</v>
      </c>
    </row>
    <row r="76" spans="1:24" x14ac:dyDescent="0.25">
      <c r="A76" s="22">
        <v>74</v>
      </c>
      <c r="B76" s="18"/>
      <c r="C76" s="19"/>
      <c r="D76" s="19"/>
      <c r="E76" s="87"/>
      <c r="F76" s="24"/>
      <c r="G76" s="4"/>
      <c r="H76" s="4" t="e">
        <f t="shared" si="10"/>
        <v>#N/A</v>
      </c>
      <c r="I76" s="4" t="str">
        <f t="shared" si="11"/>
        <v>00</v>
      </c>
      <c r="J76" s="4" t="str">
        <f t="shared" si="12"/>
        <v>00</v>
      </c>
      <c r="K76" s="14" t="e">
        <f t="shared" si="16"/>
        <v>#N/A</v>
      </c>
      <c r="L76" s="17" t="e">
        <f t="shared" si="13"/>
        <v>#N/A</v>
      </c>
      <c r="M76" s="20" t="str">
        <f t="shared" si="14"/>
        <v/>
      </c>
      <c r="N76" s="21" t="str">
        <f t="shared" si="15"/>
        <v/>
      </c>
      <c r="O76" s="24"/>
      <c r="P76" s="24"/>
      <c r="T76" s="2" t="s">
        <v>141</v>
      </c>
      <c r="U76" s="82"/>
      <c r="V76" s="93">
        <f t="shared" si="17"/>
        <v>0</v>
      </c>
      <c r="W76" s="47" t="str">
        <f t="shared" si="18"/>
        <v>0</v>
      </c>
      <c r="X76" s="59">
        <f t="shared" si="19"/>
        <v>0</v>
      </c>
    </row>
    <row r="77" spans="1:24" x14ac:dyDescent="0.25">
      <c r="A77" s="22">
        <v>75</v>
      </c>
      <c r="B77" s="18"/>
      <c r="C77" s="19"/>
      <c r="D77" s="19"/>
      <c r="E77" s="87"/>
      <c r="F77" s="24"/>
      <c r="G77" s="4"/>
      <c r="H77" s="4" t="e">
        <f t="shared" si="10"/>
        <v>#N/A</v>
      </c>
      <c r="I77" s="4" t="str">
        <f t="shared" si="11"/>
        <v>00</v>
      </c>
      <c r="J77" s="4" t="str">
        <f t="shared" si="12"/>
        <v>00</v>
      </c>
      <c r="K77" s="14" t="e">
        <f t="shared" si="16"/>
        <v>#N/A</v>
      </c>
      <c r="L77" s="17" t="e">
        <f t="shared" si="13"/>
        <v>#N/A</v>
      </c>
      <c r="M77" s="20" t="str">
        <f t="shared" si="14"/>
        <v/>
      </c>
      <c r="N77" s="21" t="str">
        <f t="shared" si="15"/>
        <v/>
      </c>
      <c r="O77" s="24"/>
      <c r="P77" s="24"/>
      <c r="T77" s="2" t="s">
        <v>141</v>
      </c>
      <c r="U77" s="82"/>
      <c r="V77" s="93">
        <f t="shared" si="17"/>
        <v>0</v>
      </c>
      <c r="W77" s="47" t="str">
        <f t="shared" si="18"/>
        <v>0</v>
      </c>
      <c r="X77" s="59">
        <f t="shared" si="19"/>
        <v>0</v>
      </c>
    </row>
    <row r="78" spans="1:24" x14ac:dyDescent="0.25">
      <c r="A78" s="22">
        <v>76</v>
      </c>
      <c r="B78" s="18"/>
      <c r="C78" s="19"/>
      <c r="D78" s="19"/>
      <c r="E78" s="87"/>
      <c r="F78" s="24"/>
      <c r="G78" s="4"/>
      <c r="H78" s="4" t="e">
        <f t="shared" si="10"/>
        <v>#N/A</v>
      </c>
      <c r="I78" s="4" t="str">
        <f t="shared" si="11"/>
        <v>00</v>
      </c>
      <c r="J78" s="4" t="str">
        <f t="shared" si="12"/>
        <v>00</v>
      </c>
      <c r="K78" s="14" t="e">
        <f t="shared" si="16"/>
        <v>#N/A</v>
      </c>
      <c r="L78" s="17" t="e">
        <f t="shared" si="13"/>
        <v>#N/A</v>
      </c>
      <c r="M78" s="20" t="str">
        <f t="shared" si="14"/>
        <v/>
      </c>
      <c r="N78" s="21" t="str">
        <f t="shared" si="15"/>
        <v/>
      </c>
      <c r="O78" s="24"/>
      <c r="P78" s="24"/>
      <c r="T78" s="2" t="s">
        <v>141</v>
      </c>
      <c r="U78" s="82"/>
      <c r="V78" s="93">
        <f t="shared" si="17"/>
        <v>0</v>
      </c>
      <c r="W78" s="47" t="str">
        <f t="shared" si="18"/>
        <v>0</v>
      </c>
      <c r="X78" s="59">
        <f t="shared" si="19"/>
        <v>0</v>
      </c>
    </row>
    <row r="79" spans="1:24" x14ac:dyDescent="0.25">
      <c r="A79" s="22">
        <v>77</v>
      </c>
      <c r="B79" s="18"/>
      <c r="C79" s="19"/>
      <c r="D79" s="19"/>
      <c r="E79" s="87"/>
      <c r="F79" s="24"/>
      <c r="G79" s="4"/>
      <c r="H79" s="4" t="e">
        <f t="shared" si="10"/>
        <v>#N/A</v>
      </c>
      <c r="I79" s="4" t="str">
        <f t="shared" si="11"/>
        <v>00</v>
      </c>
      <c r="J79" s="4" t="str">
        <f t="shared" si="12"/>
        <v>00</v>
      </c>
      <c r="K79" s="14" t="e">
        <f t="shared" si="16"/>
        <v>#N/A</v>
      </c>
      <c r="L79" s="17" t="e">
        <f t="shared" si="13"/>
        <v>#N/A</v>
      </c>
      <c r="M79" s="20" t="str">
        <f t="shared" si="14"/>
        <v/>
      </c>
      <c r="N79" s="21" t="str">
        <f t="shared" si="15"/>
        <v/>
      </c>
      <c r="O79" s="24"/>
      <c r="P79" s="24"/>
      <c r="T79" s="2" t="s">
        <v>141</v>
      </c>
      <c r="U79" s="82"/>
      <c r="V79" s="93">
        <f t="shared" si="17"/>
        <v>0</v>
      </c>
      <c r="W79" s="47" t="str">
        <f t="shared" si="18"/>
        <v>0</v>
      </c>
      <c r="X79" s="59">
        <f t="shared" si="19"/>
        <v>0</v>
      </c>
    </row>
    <row r="80" spans="1:24" x14ac:dyDescent="0.25">
      <c r="A80" s="22">
        <v>78</v>
      </c>
      <c r="B80" s="18"/>
      <c r="C80" s="19"/>
      <c r="D80" s="19"/>
      <c r="E80" s="87"/>
      <c r="F80" s="24"/>
      <c r="G80" s="4"/>
      <c r="H80" s="4" t="e">
        <f t="shared" si="10"/>
        <v>#N/A</v>
      </c>
      <c r="I80" s="4" t="str">
        <f t="shared" si="11"/>
        <v>00</v>
      </c>
      <c r="J80" s="4" t="str">
        <f t="shared" si="12"/>
        <v>00</v>
      </c>
      <c r="K80" s="14" t="e">
        <f t="shared" si="16"/>
        <v>#N/A</v>
      </c>
      <c r="L80" s="17" t="e">
        <f t="shared" si="13"/>
        <v>#N/A</v>
      </c>
      <c r="M80" s="20" t="str">
        <f t="shared" si="14"/>
        <v/>
      </c>
      <c r="N80" s="21" t="str">
        <f t="shared" si="15"/>
        <v/>
      </c>
      <c r="O80" s="24"/>
      <c r="P80" s="24"/>
      <c r="T80" s="2" t="s">
        <v>141</v>
      </c>
      <c r="U80" s="82"/>
      <c r="V80" s="93">
        <f t="shared" si="17"/>
        <v>0</v>
      </c>
      <c r="W80" s="47" t="str">
        <f t="shared" si="18"/>
        <v>0</v>
      </c>
      <c r="X80" s="59">
        <f t="shared" si="19"/>
        <v>0</v>
      </c>
    </row>
    <row r="81" spans="1:24" x14ac:dyDescent="0.25">
      <c r="A81" s="22">
        <v>79</v>
      </c>
      <c r="B81" s="18"/>
      <c r="C81" s="19"/>
      <c r="D81" s="19"/>
      <c r="E81" s="87"/>
      <c r="F81" s="24"/>
      <c r="G81" s="4"/>
      <c r="H81" s="4" t="e">
        <f t="shared" si="10"/>
        <v>#N/A</v>
      </c>
      <c r="I81" s="4" t="str">
        <f t="shared" si="11"/>
        <v>00</v>
      </c>
      <c r="J81" s="4" t="str">
        <f t="shared" si="12"/>
        <v>00</v>
      </c>
      <c r="K81" s="14" t="e">
        <f t="shared" si="16"/>
        <v>#N/A</v>
      </c>
      <c r="L81" s="17" t="e">
        <f t="shared" si="13"/>
        <v>#N/A</v>
      </c>
      <c r="M81" s="20" t="str">
        <f t="shared" si="14"/>
        <v/>
      </c>
      <c r="N81" s="21" t="str">
        <f t="shared" si="15"/>
        <v/>
      </c>
      <c r="O81" s="24"/>
      <c r="P81" s="24"/>
      <c r="T81" s="2" t="s">
        <v>141</v>
      </c>
      <c r="U81" s="82"/>
      <c r="V81" s="93">
        <f t="shared" si="17"/>
        <v>0</v>
      </c>
      <c r="W81" s="47" t="str">
        <f t="shared" si="18"/>
        <v>0</v>
      </c>
      <c r="X81" s="59">
        <f t="shared" si="19"/>
        <v>0</v>
      </c>
    </row>
    <row r="82" spans="1:24" x14ac:dyDescent="0.25">
      <c r="A82" s="22">
        <v>80</v>
      </c>
      <c r="B82" s="18"/>
      <c r="C82" s="19"/>
      <c r="D82" s="19"/>
      <c r="E82" s="87"/>
      <c r="F82" s="24"/>
      <c r="G82" s="4"/>
      <c r="H82" s="4" t="e">
        <f t="shared" si="10"/>
        <v>#N/A</v>
      </c>
      <c r="I82" s="4" t="str">
        <f t="shared" si="11"/>
        <v>00</v>
      </c>
      <c r="J82" s="4" t="str">
        <f t="shared" si="12"/>
        <v>00</v>
      </c>
      <c r="K82" s="14" t="e">
        <f t="shared" si="16"/>
        <v>#N/A</v>
      </c>
      <c r="L82" s="17" t="e">
        <f t="shared" si="13"/>
        <v>#N/A</v>
      </c>
      <c r="M82" s="20" t="str">
        <f t="shared" si="14"/>
        <v/>
      </c>
      <c r="N82" s="21" t="str">
        <f t="shared" si="15"/>
        <v/>
      </c>
      <c r="O82" s="24"/>
      <c r="P82" s="24"/>
      <c r="T82" s="2" t="s">
        <v>141</v>
      </c>
      <c r="U82" s="82"/>
      <c r="V82" s="93">
        <f t="shared" si="17"/>
        <v>0</v>
      </c>
      <c r="W82" s="47" t="str">
        <f t="shared" si="18"/>
        <v>0</v>
      </c>
      <c r="X82" s="59">
        <f t="shared" si="19"/>
        <v>0</v>
      </c>
    </row>
    <row r="83" spans="1:24" x14ac:dyDescent="0.25">
      <c r="A83" s="22">
        <v>81</v>
      </c>
      <c r="B83" s="18"/>
      <c r="C83" s="19"/>
      <c r="D83" s="19"/>
      <c r="E83" s="87"/>
      <c r="F83" s="24"/>
      <c r="G83" s="4"/>
      <c r="H83" s="4" t="e">
        <f t="shared" si="10"/>
        <v>#N/A</v>
      </c>
      <c r="I83" s="4" t="str">
        <f t="shared" si="11"/>
        <v>00</v>
      </c>
      <c r="J83" s="4" t="str">
        <f t="shared" si="12"/>
        <v>00</v>
      </c>
      <c r="K83" s="14" t="e">
        <f t="shared" si="16"/>
        <v>#N/A</v>
      </c>
      <c r="L83" s="17" t="e">
        <f t="shared" si="13"/>
        <v>#N/A</v>
      </c>
      <c r="M83" s="20" t="str">
        <f t="shared" si="14"/>
        <v/>
      </c>
      <c r="N83" s="21" t="str">
        <f t="shared" si="15"/>
        <v/>
      </c>
      <c r="O83" s="24"/>
      <c r="P83" s="24"/>
      <c r="T83" s="2" t="s">
        <v>141</v>
      </c>
      <c r="U83" s="82"/>
      <c r="V83" s="93">
        <f t="shared" si="17"/>
        <v>0</v>
      </c>
      <c r="W83" s="47" t="str">
        <f t="shared" si="18"/>
        <v>0</v>
      </c>
      <c r="X83" s="59">
        <f t="shared" si="19"/>
        <v>0</v>
      </c>
    </row>
    <row r="84" spans="1:24" x14ac:dyDescent="0.25">
      <c r="A84" s="22">
        <v>82</v>
      </c>
      <c r="B84" s="18"/>
      <c r="C84" s="19"/>
      <c r="D84" s="19"/>
      <c r="E84" s="87"/>
      <c r="F84" s="24"/>
      <c r="G84" s="4"/>
      <c r="H84" s="4" t="e">
        <f t="shared" si="10"/>
        <v>#N/A</v>
      </c>
      <c r="I84" s="4" t="str">
        <f t="shared" si="11"/>
        <v>00</v>
      </c>
      <c r="J84" s="4" t="str">
        <f t="shared" si="12"/>
        <v>00</v>
      </c>
      <c r="K84" s="14" t="e">
        <f t="shared" si="16"/>
        <v>#N/A</v>
      </c>
      <c r="L84" s="17" t="e">
        <f t="shared" si="13"/>
        <v>#N/A</v>
      </c>
      <c r="M84" s="20" t="str">
        <f t="shared" si="14"/>
        <v/>
      </c>
      <c r="N84" s="21" t="str">
        <f t="shared" si="15"/>
        <v/>
      </c>
      <c r="O84" s="24"/>
      <c r="P84" s="24"/>
      <c r="T84" s="2" t="s">
        <v>141</v>
      </c>
      <c r="U84" s="82"/>
      <c r="V84" s="93">
        <f t="shared" si="17"/>
        <v>0</v>
      </c>
      <c r="W84" s="47" t="str">
        <f t="shared" si="18"/>
        <v>0</v>
      </c>
      <c r="X84" s="59">
        <f t="shared" si="19"/>
        <v>0</v>
      </c>
    </row>
    <row r="85" spans="1:24" x14ac:dyDescent="0.25">
      <c r="A85" s="22">
        <v>83</v>
      </c>
      <c r="B85" s="18"/>
      <c r="C85" s="19"/>
      <c r="D85" s="19"/>
      <c r="E85" s="87"/>
      <c r="F85" s="24"/>
      <c r="G85" s="4"/>
      <c r="H85" s="4" t="e">
        <f t="shared" si="10"/>
        <v>#N/A</v>
      </c>
      <c r="I85" s="4" t="str">
        <f t="shared" si="11"/>
        <v>00</v>
      </c>
      <c r="J85" s="4" t="str">
        <f t="shared" si="12"/>
        <v>00</v>
      </c>
      <c r="K85" s="14" t="e">
        <f t="shared" si="16"/>
        <v>#N/A</v>
      </c>
      <c r="L85" s="17" t="e">
        <f t="shared" si="13"/>
        <v>#N/A</v>
      </c>
      <c r="M85" s="20" t="str">
        <f t="shared" si="14"/>
        <v/>
      </c>
      <c r="N85" s="21" t="str">
        <f t="shared" si="15"/>
        <v/>
      </c>
      <c r="O85" s="24"/>
      <c r="P85" s="24"/>
      <c r="T85" s="2" t="s">
        <v>141</v>
      </c>
      <c r="U85" s="82"/>
      <c r="V85" s="93">
        <f t="shared" si="17"/>
        <v>0</v>
      </c>
      <c r="W85" s="47" t="str">
        <f t="shared" si="18"/>
        <v>0</v>
      </c>
      <c r="X85" s="59">
        <f t="shared" si="19"/>
        <v>0</v>
      </c>
    </row>
    <row r="86" spans="1:24" x14ac:dyDescent="0.25">
      <c r="A86" s="22">
        <v>84</v>
      </c>
      <c r="B86" s="18"/>
      <c r="C86" s="19"/>
      <c r="D86" s="19"/>
      <c r="E86" s="87"/>
      <c r="F86" s="24"/>
      <c r="G86" s="4"/>
      <c r="H86" s="4" t="e">
        <f t="shared" si="10"/>
        <v>#N/A</v>
      </c>
      <c r="I86" s="4" t="str">
        <f t="shared" si="11"/>
        <v>00</v>
      </c>
      <c r="J86" s="4" t="str">
        <f t="shared" si="12"/>
        <v>00</v>
      </c>
      <c r="K86" s="14" t="e">
        <f t="shared" si="16"/>
        <v>#N/A</v>
      </c>
      <c r="L86" s="17" t="e">
        <f t="shared" si="13"/>
        <v>#N/A</v>
      </c>
      <c r="M86" s="20" t="str">
        <f t="shared" si="14"/>
        <v/>
      </c>
      <c r="N86" s="21" t="str">
        <f t="shared" si="15"/>
        <v/>
      </c>
      <c r="O86" s="24"/>
      <c r="P86" s="24"/>
      <c r="T86" s="2" t="s">
        <v>141</v>
      </c>
      <c r="U86" s="82"/>
      <c r="V86" s="93">
        <f t="shared" si="17"/>
        <v>0</v>
      </c>
      <c r="W86" s="47" t="str">
        <f t="shared" si="18"/>
        <v>0</v>
      </c>
      <c r="X86" s="59">
        <f t="shared" si="19"/>
        <v>0</v>
      </c>
    </row>
    <row r="87" spans="1:24" x14ac:dyDescent="0.25">
      <c r="A87" s="22">
        <v>85</v>
      </c>
      <c r="B87" s="18"/>
      <c r="C87" s="19"/>
      <c r="D87" s="19"/>
      <c r="E87" s="87"/>
      <c r="F87" s="24"/>
      <c r="G87" s="4"/>
      <c r="H87" s="4" t="e">
        <f t="shared" si="10"/>
        <v>#N/A</v>
      </c>
      <c r="I87" s="4" t="str">
        <f t="shared" si="11"/>
        <v>00</v>
      </c>
      <c r="J87" s="4" t="str">
        <f t="shared" si="12"/>
        <v>00</v>
      </c>
      <c r="K87" s="14" t="e">
        <f t="shared" si="16"/>
        <v>#N/A</v>
      </c>
      <c r="L87" s="17" t="e">
        <f t="shared" si="13"/>
        <v>#N/A</v>
      </c>
      <c r="M87" s="20" t="str">
        <f t="shared" si="14"/>
        <v/>
      </c>
      <c r="N87" s="21" t="str">
        <f t="shared" si="15"/>
        <v/>
      </c>
      <c r="O87" s="24"/>
      <c r="P87" s="24"/>
      <c r="T87" s="2" t="s">
        <v>141</v>
      </c>
      <c r="U87" s="82"/>
      <c r="V87" s="93">
        <f t="shared" si="17"/>
        <v>0</v>
      </c>
      <c r="W87" s="47" t="str">
        <f t="shared" si="18"/>
        <v>0</v>
      </c>
      <c r="X87" s="59">
        <f t="shared" si="19"/>
        <v>0</v>
      </c>
    </row>
    <row r="88" spans="1:24" x14ac:dyDescent="0.25">
      <c r="A88" s="22">
        <v>86</v>
      </c>
      <c r="B88" s="18"/>
      <c r="C88" s="19"/>
      <c r="D88" s="19"/>
      <c r="E88" s="87"/>
      <c r="F88" s="24"/>
      <c r="G88" s="4"/>
      <c r="H88" s="4" t="e">
        <f t="shared" si="10"/>
        <v>#N/A</v>
      </c>
      <c r="I88" s="4" t="str">
        <f t="shared" si="11"/>
        <v>00</v>
      </c>
      <c r="J88" s="4" t="str">
        <f t="shared" si="12"/>
        <v>00</v>
      </c>
      <c r="K88" s="14" t="e">
        <f t="shared" si="16"/>
        <v>#N/A</v>
      </c>
      <c r="L88" s="17" t="e">
        <f t="shared" si="13"/>
        <v>#N/A</v>
      </c>
      <c r="M88" s="20" t="str">
        <f t="shared" si="14"/>
        <v/>
      </c>
      <c r="N88" s="21" t="str">
        <f t="shared" si="15"/>
        <v/>
      </c>
      <c r="O88" s="24"/>
      <c r="P88" s="24"/>
      <c r="T88" s="2" t="s">
        <v>141</v>
      </c>
      <c r="U88" s="82"/>
      <c r="V88" s="93">
        <f t="shared" si="17"/>
        <v>0</v>
      </c>
      <c r="W88" s="47" t="str">
        <f t="shared" si="18"/>
        <v>0</v>
      </c>
      <c r="X88" s="59">
        <f t="shared" si="19"/>
        <v>0</v>
      </c>
    </row>
    <row r="89" spans="1:24" x14ac:dyDescent="0.25">
      <c r="A89" s="22">
        <v>87</v>
      </c>
      <c r="B89" s="18"/>
      <c r="C89" s="19"/>
      <c r="D89" s="19"/>
      <c r="E89" s="87"/>
      <c r="F89" s="24"/>
      <c r="G89" s="4"/>
      <c r="H89" s="4" t="e">
        <f t="shared" si="10"/>
        <v>#N/A</v>
      </c>
      <c r="I89" s="4" t="str">
        <f t="shared" si="11"/>
        <v>00</v>
      </c>
      <c r="J89" s="4" t="str">
        <f t="shared" si="12"/>
        <v>00</v>
      </c>
      <c r="K89" s="14" t="e">
        <f t="shared" si="16"/>
        <v>#N/A</v>
      </c>
      <c r="L89" s="17" t="e">
        <f t="shared" si="13"/>
        <v>#N/A</v>
      </c>
      <c r="M89" s="20" t="str">
        <f t="shared" si="14"/>
        <v/>
      </c>
      <c r="N89" s="21" t="str">
        <f t="shared" si="15"/>
        <v/>
      </c>
      <c r="O89" s="24"/>
      <c r="P89" s="24"/>
      <c r="T89" s="2" t="s">
        <v>141</v>
      </c>
      <c r="U89" s="82"/>
      <c r="V89" s="93">
        <f t="shared" si="17"/>
        <v>0</v>
      </c>
      <c r="W89" s="47" t="str">
        <f t="shared" si="18"/>
        <v>0</v>
      </c>
      <c r="X89" s="59">
        <f t="shared" si="19"/>
        <v>0</v>
      </c>
    </row>
    <row r="90" spans="1:24" x14ac:dyDescent="0.25">
      <c r="A90" s="22">
        <v>88</v>
      </c>
      <c r="B90" s="18"/>
      <c r="C90" s="19"/>
      <c r="D90" s="19"/>
      <c r="E90" s="87"/>
      <c r="F90" s="24"/>
      <c r="G90" s="4"/>
      <c r="H90" s="4" t="e">
        <f t="shared" si="10"/>
        <v>#N/A</v>
      </c>
      <c r="I90" s="4" t="str">
        <f t="shared" si="11"/>
        <v>00</v>
      </c>
      <c r="J90" s="4" t="str">
        <f t="shared" si="12"/>
        <v>00</v>
      </c>
      <c r="K90" s="14" t="e">
        <f t="shared" si="16"/>
        <v>#N/A</v>
      </c>
      <c r="L90" s="17" t="e">
        <f t="shared" si="13"/>
        <v>#N/A</v>
      </c>
      <c r="M90" s="20" t="str">
        <f t="shared" si="14"/>
        <v/>
      </c>
      <c r="N90" s="21" t="str">
        <f t="shared" si="15"/>
        <v/>
      </c>
      <c r="O90" s="24"/>
      <c r="P90" s="24"/>
      <c r="T90" s="2" t="s">
        <v>141</v>
      </c>
      <c r="U90" s="82"/>
      <c r="V90" s="93">
        <f t="shared" si="17"/>
        <v>0</v>
      </c>
      <c r="W90" s="47" t="str">
        <f t="shared" si="18"/>
        <v>0</v>
      </c>
      <c r="X90" s="59">
        <f t="shared" si="19"/>
        <v>0</v>
      </c>
    </row>
    <row r="91" spans="1:24" x14ac:dyDescent="0.25">
      <c r="A91" s="22">
        <v>89</v>
      </c>
      <c r="B91" s="18"/>
      <c r="C91" s="19"/>
      <c r="D91" s="19"/>
      <c r="E91" s="87"/>
      <c r="F91" s="24"/>
      <c r="G91" s="4"/>
      <c r="H91" s="4" t="e">
        <f t="shared" si="10"/>
        <v>#N/A</v>
      </c>
      <c r="I91" s="4" t="str">
        <f t="shared" si="11"/>
        <v>00</v>
      </c>
      <c r="J91" s="4" t="str">
        <f t="shared" si="12"/>
        <v>00</v>
      </c>
      <c r="K91" s="14" t="e">
        <f t="shared" si="16"/>
        <v>#N/A</v>
      </c>
      <c r="L91" s="17" t="e">
        <f t="shared" si="13"/>
        <v>#N/A</v>
      </c>
      <c r="M91" s="20" t="str">
        <f t="shared" si="14"/>
        <v/>
      </c>
      <c r="N91" s="21" t="str">
        <f t="shared" si="15"/>
        <v/>
      </c>
      <c r="O91" s="24"/>
      <c r="P91" s="24"/>
      <c r="T91" s="2" t="s">
        <v>141</v>
      </c>
      <c r="U91" s="82"/>
      <c r="V91" s="93">
        <f t="shared" si="17"/>
        <v>0</v>
      </c>
      <c r="W91" s="47" t="str">
        <f t="shared" si="18"/>
        <v>0</v>
      </c>
      <c r="X91" s="59">
        <f t="shared" si="19"/>
        <v>0</v>
      </c>
    </row>
    <row r="92" spans="1:24" x14ac:dyDescent="0.25">
      <c r="A92" s="22">
        <v>90</v>
      </c>
      <c r="B92" s="18"/>
      <c r="C92" s="19"/>
      <c r="D92" s="19"/>
      <c r="E92" s="87"/>
      <c r="F92" s="24"/>
      <c r="G92" s="4"/>
      <c r="H92" s="4" t="e">
        <f t="shared" si="10"/>
        <v>#N/A</v>
      </c>
      <c r="I92" s="4" t="str">
        <f t="shared" si="11"/>
        <v>00</v>
      </c>
      <c r="J92" s="4" t="str">
        <f t="shared" si="12"/>
        <v>00</v>
      </c>
      <c r="K92" s="14" t="e">
        <f t="shared" si="16"/>
        <v>#N/A</v>
      </c>
      <c r="L92" s="17" t="e">
        <f t="shared" si="13"/>
        <v>#N/A</v>
      </c>
      <c r="M92" s="20" t="str">
        <f t="shared" si="14"/>
        <v/>
      </c>
      <c r="N92" s="21" t="str">
        <f t="shared" si="15"/>
        <v/>
      </c>
      <c r="O92" s="24"/>
      <c r="P92" s="24"/>
      <c r="T92" s="2" t="s">
        <v>141</v>
      </c>
      <c r="U92" s="82"/>
      <c r="V92" s="93">
        <f t="shared" si="17"/>
        <v>0</v>
      </c>
      <c r="W92" s="47" t="str">
        <f t="shared" si="18"/>
        <v>0</v>
      </c>
      <c r="X92" s="59">
        <f t="shared" si="19"/>
        <v>0</v>
      </c>
    </row>
    <row r="93" spans="1:24" x14ac:dyDescent="0.25">
      <c r="A93" s="22">
        <v>91</v>
      </c>
      <c r="B93" s="18"/>
      <c r="C93" s="19"/>
      <c r="D93" s="19"/>
      <c r="E93" s="87"/>
      <c r="F93" s="24"/>
      <c r="G93" s="4"/>
      <c r="H93" s="4" t="e">
        <f t="shared" si="10"/>
        <v>#N/A</v>
      </c>
      <c r="I93" s="4" t="str">
        <f t="shared" si="11"/>
        <v>00</v>
      </c>
      <c r="J93" s="4" t="str">
        <f t="shared" si="12"/>
        <v>00</v>
      </c>
      <c r="K93" s="14" t="e">
        <f t="shared" si="16"/>
        <v>#N/A</v>
      </c>
      <c r="L93" s="17" t="e">
        <f t="shared" si="13"/>
        <v>#N/A</v>
      </c>
      <c r="M93" s="20" t="str">
        <f t="shared" si="14"/>
        <v/>
      </c>
      <c r="N93" s="21" t="str">
        <f t="shared" si="15"/>
        <v/>
      </c>
      <c r="O93" s="24"/>
      <c r="P93" s="24"/>
      <c r="T93" s="2" t="s">
        <v>141</v>
      </c>
      <c r="U93" s="82"/>
      <c r="V93" s="93">
        <f t="shared" si="17"/>
        <v>0</v>
      </c>
      <c r="W93" s="47" t="str">
        <f t="shared" si="18"/>
        <v>0</v>
      </c>
      <c r="X93" s="59">
        <f t="shared" si="19"/>
        <v>0</v>
      </c>
    </row>
    <row r="94" spans="1:24" x14ac:dyDescent="0.25">
      <c r="A94" s="22">
        <v>92</v>
      </c>
      <c r="B94" s="18"/>
      <c r="C94" s="19"/>
      <c r="D94" s="19"/>
      <c r="E94" s="87"/>
      <c r="F94" s="24"/>
      <c r="G94" s="4"/>
      <c r="H94" s="4" t="e">
        <f t="shared" si="10"/>
        <v>#N/A</v>
      </c>
      <c r="I94" s="4" t="str">
        <f t="shared" si="11"/>
        <v>00</v>
      </c>
      <c r="J94" s="4" t="str">
        <f t="shared" si="12"/>
        <v>00</v>
      </c>
      <c r="K94" s="14" t="e">
        <f t="shared" si="16"/>
        <v>#N/A</v>
      </c>
      <c r="L94" s="17" t="e">
        <f t="shared" si="13"/>
        <v>#N/A</v>
      </c>
      <c r="M94" s="20" t="str">
        <f t="shared" si="14"/>
        <v/>
      </c>
      <c r="N94" s="21" t="str">
        <f t="shared" si="15"/>
        <v/>
      </c>
      <c r="O94" s="24"/>
      <c r="P94" s="24"/>
      <c r="T94" s="2" t="s">
        <v>141</v>
      </c>
      <c r="U94" s="82"/>
      <c r="V94" s="93">
        <f t="shared" si="17"/>
        <v>0</v>
      </c>
      <c r="W94" s="47" t="str">
        <f t="shared" si="18"/>
        <v>0</v>
      </c>
      <c r="X94" s="59">
        <f t="shared" si="19"/>
        <v>0</v>
      </c>
    </row>
    <row r="95" spans="1:24" x14ac:dyDescent="0.25">
      <c r="A95" s="22">
        <v>93</v>
      </c>
      <c r="B95" s="18"/>
      <c r="C95" s="19"/>
      <c r="D95" s="19"/>
      <c r="E95" s="87"/>
      <c r="F95" s="24"/>
      <c r="G95" s="4"/>
      <c r="H95" s="4" t="e">
        <f t="shared" si="10"/>
        <v>#N/A</v>
      </c>
      <c r="I95" s="4" t="str">
        <f t="shared" si="11"/>
        <v>00</v>
      </c>
      <c r="J95" s="4" t="str">
        <f t="shared" si="12"/>
        <v>00</v>
      </c>
      <c r="K95" s="14" t="e">
        <f t="shared" si="16"/>
        <v>#N/A</v>
      </c>
      <c r="L95" s="17" t="e">
        <f t="shared" si="13"/>
        <v>#N/A</v>
      </c>
      <c r="M95" s="20" t="str">
        <f t="shared" si="14"/>
        <v/>
      </c>
      <c r="N95" s="21" t="str">
        <f t="shared" si="15"/>
        <v/>
      </c>
      <c r="O95" s="24"/>
      <c r="P95" s="24"/>
      <c r="T95" s="2" t="s">
        <v>141</v>
      </c>
      <c r="U95" s="82"/>
      <c r="V95" s="93">
        <f t="shared" si="17"/>
        <v>0</v>
      </c>
      <c r="W95" s="47" t="str">
        <f t="shared" si="18"/>
        <v>0</v>
      </c>
      <c r="X95" s="59">
        <f t="shared" si="19"/>
        <v>0</v>
      </c>
    </row>
    <row r="96" spans="1:24" x14ac:dyDescent="0.25">
      <c r="A96" s="22">
        <v>94</v>
      </c>
      <c r="B96" s="18"/>
      <c r="C96" s="19"/>
      <c r="D96" s="19"/>
      <c r="E96" s="87"/>
      <c r="F96" s="24"/>
      <c r="G96" s="4"/>
      <c r="H96" s="4" t="e">
        <f t="shared" si="10"/>
        <v>#N/A</v>
      </c>
      <c r="I96" s="4" t="str">
        <f t="shared" si="11"/>
        <v>00</v>
      </c>
      <c r="J96" s="4" t="str">
        <f t="shared" si="12"/>
        <v>00</v>
      </c>
      <c r="K96" s="14" t="e">
        <f t="shared" si="16"/>
        <v>#N/A</v>
      </c>
      <c r="L96" s="17" t="e">
        <f t="shared" si="13"/>
        <v>#N/A</v>
      </c>
      <c r="M96" s="20" t="str">
        <f t="shared" si="14"/>
        <v/>
      </c>
      <c r="N96" s="21" t="str">
        <f t="shared" si="15"/>
        <v/>
      </c>
      <c r="O96" s="24"/>
      <c r="P96" s="24"/>
      <c r="T96" s="2" t="s">
        <v>141</v>
      </c>
      <c r="U96" s="82"/>
      <c r="V96" s="93">
        <f t="shared" si="17"/>
        <v>0</v>
      </c>
      <c r="W96" s="47" t="str">
        <f t="shared" si="18"/>
        <v>0</v>
      </c>
      <c r="X96" s="59">
        <f t="shared" si="19"/>
        <v>0</v>
      </c>
    </row>
    <row r="97" spans="1:24" x14ac:dyDescent="0.25">
      <c r="A97" s="22">
        <v>95</v>
      </c>
      <c r="B97" s="18"/>
      <c r="C97" s="19"/>
      <c r="D97" s="19"/>
      <c r="E97" s="87"/>
      <c r="F97" s="24"/>
      <c r="G97" s="4"/>
      <c r="H97" s="4" t="e">
        <f t="shared" si="10"/>
        <v>#N/A</v>
      </c>
      <c r="I97" s="4" t="str">
        <f t="shared" si="11"/>
        <v>00</v>
      </c>
      <c r="J97" s="4" t="str">
        <f t="shared" si="12"/>
        <v>00</v>
      </c>
      <c r="K97" s="14" t="e">
        <f t="shared" si="16"/>
        <v>#N/A</v>
      </c>
      <c r="L97" s="17" t="e">
        <f t="shared" si="13"/>
        <v>#N/A</v>
      </c>
      <c r="M97" s="20" t="str">
        <f t="shared" si="14"/>
        <v/>
      </c>
      <c r="N97" s="21" t="str">
        <f t="shared" si="15"/>
        <v/>
      </c>
      <c r="O97" s="24"/>
      <c r="P97" s="24"/>
      <c r="T97" s="2" t="s">
        <v>141</v>
      </c>
      <c r="U97" s="82"/>
      <c r="V97" s="93">
        <f t="shared" si="17"/>
        <v>0</v>
      </c>
      <c r="W97" s="47" t="str">
        <f t="shared" si="18"/>
        <v>0</v>
      </c>
      <c r="X97" s="59">
        <f t="shared" si="19"/>
        <v>0</v>
      </c>
    </row>
    <row r="98" spans="1:24" x14ac:dyDescent="0.25">
      <c r="A98" s="22">
        <v>96</v>
      </c>
      <c r="B98" s="18"/>
      <c r="C98" s="19"/>
      <c r="D98" s="19"/>
      <c r="E98" s="87"/>
      <c r="F98" s="24"/>
      <c r="G98" s="4"/>
      <c r="H98" s="4" t="e">
        <f t="shared" si="10"/>
        <v>#N/A</v>
      </c>
      <c r="I98" s="4" t="str">
        <f t="shared" si="11"/>
        <v>00</v>
      </c>
      <c r="J98" s="4" t="str">
        <f t="shared" si="12"/>
        <v>00</v>
      </c>
      <c r="K98" s="14" t="e">
        <f t="shared" si="16"/>
        <v>#N/A</v>
      </c>
      <c r="L98" s="17" t="e">
        <f t="shared" si="13"/>
        <v>#N/A</v>
      </c>
      <c r="M98" s="20" t="str">
        <f t="shared" si="14"/>
        <v/>
      </c>
      <c r="N98" s="21" t="str">
        <f t="shared" si="15"/>
        <v/>
      </c>
      <c r="O98" s="24"/>
      <c r="P98" s="24"/>
      <c r="T98" s="2" t="s">
        <v>141</v>
      </c>
      <c r="U98" s="82"/>
      <c r="V98" s="93">
        <f t="shared" si="17"/>
        <v>0</v>
      </c>
      <c r="W98" s="47" t="str">
        <f t="shared" si="18"/>
        <v>0</v>
      </c>
      <c r="X98" s="59">
        <f t="shared" si="19"/>
        <v>0</v>
      </c>
    </row>
    <row r="99" spans="1:24" x14ac:dyDescent="0.25">
      <c r="A99" s="22">
        <v>97</v>
      </c>
      <c r="B99" s="18"/>
      <c r="C99" s="19"/>
      <c r="D99" s="19"/>
      <c r="E99" s="87"/>
      <c r="F99" s="24"/>
      <c r="G99" s="4"/>
      <c r="H99" s="4" t="e">
        <f t="shared" si="10"/>
        <v>#N/A</v>
      </c>
      <c r="I99" s="4" t="str">
        <f t="shared" si="11"/>
        <v>00</v>
      </c>
      <c r="J99" s="4" t="str">
        <f t="shared" si="12"/>
        <v>00</v>
      </c>
      <c r="K99" s="14" t="e">
        <f t="shared" si="16"/>
        <v>#N/A</v>
      </c>
      <c r="L99" s="17" t="e">
        <f t="shared" si="13"/>
        <v>#N/A</v>
      </c>
      <c r="M99" s="20" t="str">
        <f t="shared" si="14"/>
        <v/>
      </c>
      <c r="N99" s="21" t="str">
        <f t="shared" si="15"/>
        <v/>
      </c>
      <c r="O99" s="24"/>
      <c r="P99" s="24"/>
      <c r="T99" s="2" t="s">
        <v>141</v>
      </c>
      <c r="U99" s="82"/>
      <c r="V99" s="93">
        <f t="shared" si="17"/>
        <v>0</v>
      </c>
      <c r="W99" s="47" t="str">
        <f t="shared" si="18"/>
        <v>0</v>
      </c>
      <c r="X99" s="59">
        <f t="shared" si="19"/>
        <v>0</v>
      </c>
    </row>
    <row r="100" spans="1:24" x14ac:dyDescent="0.25">
      <c r="A100" s="22">
        <v>98</v>
      </c>
      <c r="B100" s="18"/>
      <c r="C100" s="19"/>
      <c r="D100" s="19"/>
      <c r="E100" s="87"/>
      <c r="F100" s="24"/>
      <c r="G100" s="4"/>
      <c r="H100" s="4" t="e">
        <f t="shared" si="10"/>
        <v>#N/A</v>
      </c>
      <c r="I100" s="4" t="str">
        <f t="shared" si="11"/>
        <v>00</v>
      </c>
      <c r="J100" s="4" t="str">
        <f t="shared" si="12"/>
        <v>00</v>
      </c>
      <c r="K100" s="14" t="e">
        <f t="shared" si="16"/>
        <v>#N/A</v>
      </c>
      <c r="L100" s="17" t="e">
        <f t="shared" si="13"/>
        <v>#N/A</v>
      </c>
      <c r="M100" s="20" t="str">
        <f t="shared" si="14"/>
        <v/>
      </c>
      <c r="N100" s="21" t="str">
        <f t="shared" si="15"/>
        <v/>
      </c>
      <c r="O100" s="24"/>
      <c r="P100" s="24"/>
      <c r="T100" s="2" t="s">
        <v>141</v>
      </c>
      <c r="U100" s="82"/>
      <c r="V100" s="93">
        <f t="shared" si="17"/>
        <v>0</v>
      </c>
      <c r="W100" s="47" t="str">
        <f t="shared" si="18"/>
        <v>0</v>
      </c>
      <c r="X100" s="59">
        <f t="shared" si="19"/>
        <v>0</v>
      </c>
    </row>
    <row r="101" spans="1:24" x14ac:dyDescent="0.25">
      <c r="A101" s="22">
        <v>99</v>
      </c>
      <c r="B101" s="18"/>
      <c r="C101" s="19"/>
      <c r="D101" s="19"/>
      <c r="E101" s="87"/>
      <c r="F101" s="24"/>
      <c r="G101" s="4"/>
      <c r="H101" s="4" t="e">
        <f t="shared" si="10"/>
        <v>#N/A</v>
      </c>
      <c r="I101" s="4" t="str">
        <f t="shared" si="11"/>
        <v>00</v>
      </c>
      <c r="J101" s="4" t="str">
        <f t="shared" si="12"/>
        <v>00</v>
      </c>
      <c r="K101" s="14" t="e">
        <f t="shared" si="16"/>
        <v>#N/A</v>
      </c>
      <c r="L101" s="17" t="e">
        <f t="shared" si="13"/>
        <v>#N/A</v>
      </c>
      <c r="M101" s="20" t="str">
        <f t="shared" si="14"/>
        <v/>
      </c>
      <c r="N101" s="21" t="str">
        <f t="shared" si="15"/>
        <v/>
      </c>
      <c r="O101" s="24"/>
      <c r="P101" s="24"/>
      <c r="T101" s="2" t="s">
        <v>141</v>
      </c>
      <c r="U101" s="82"/>
      <c r="V101" s="93">
        <f t="shared" si="17"/>
        <v>0</v>
      </c>
      <c r="W101" s="47" t="str">
        <f t="shared" si="18"/>
        <v>0</v>
      </c>
      <c r="X101" s="59">
        <f t="shared" si="19"/>
        <v>0</v>
      </c>
    </row>
    <row r="102" spans="1:24" x14ac:dyDescent="0.25">
      <c r="A102" s="22">
        <v>100</v>
      </c>
      <c r="B102" s="18"/>
      <c r="C102" s="19"/>
      <c r="D102" s="19"/>
      <c r="E102" s="87"/>
      <c r="F102" s="24"/>
      <c r="G102" s="4"/>
      <c r="H102" s="4" t="e">
        <f t="shared" si="10"/>
        <v>#N/A</v>
      </c>
      <c r="I102" s="4" t="str">
        <f t="shared" si="11"/>
        <v>00</v>
      </c>
      <c r="J102" s="4" t="str">
        <f t="shared" si="12"/>
        <v>00</v>
      </c>
      <c r="K102" s="14" t="e">
        <f t="shared" si="16"/>
        <v>#N/A</v>
      </c>
      <c r="L102" s="17" t="e">
        <f t="shared" si="13"/>
        <v>#N/A</v>
      </c>
      <c r="M102" s="20" t="str">
        <f t="shared" si="14"/>
        <v/>
      </c>
      <c r="N102" s="21" t="str">
        <f t="shared" si="15"/>
        <v/>
      </c>
      <c r="O102" s="24"/>
      <c r="P102" s="24"/>
      <c r="T102" s="2" t="s">
        <v>141</v>
      </c>
      <c r="U102" s="82"/>
      <c r="V102" s="93">
        <f t="shared" si="17"/>
        <v>0</v>
      </c>
      <c r="W102" s="47" t="str">
        <f t="shared" si="18"/>
        <v>0</v>
      </c>
      <c r="X102" s="59">
        <f t="shared" si="19"/>
        <v>0</v>
      </c>
    </row>
    <row r="103" spans="1:24" x14ac:dyDescent="0.25">
      <c r="A103" s="22">
        <v>101</v>
      </c>
      <c r="B103" s="18"/>
      <c r="C103" s="19"/>
      <c r="D103" s="19"/>
      <c r="E103" s="87"/>
      <c r="F103" s="24"/>
      <c r="G103" s="4"/>
      <c r="H103" s="4" t="e">
        <f t="shared" si="10"/>
        <v>#N/A</v>
      </c>
      <c r="I103" s="4" t="str">
        <f t="shared" si="11"/>
        <v>00</v>
      </c>
      <c r="J103" s="4" t="str">
        <f t="shared" si="12"/>
        <v>00</v>
      </c>
      <c r="K103" s="14" t="e">
        <f t="shared" si="16"/>
        <v>#N/A</v>
      </c>
      <c r="L103" s="17" t="e">
        <f t="shared" si="13"/>
        <v>#N/A</v>
      </c>
      <c r="M103" s="20" t="str">
        <f t="shared" si="14"/>
        <v/>
      </c>
      <c r="N103" s="21" t="str">
        <f t="shared" si="15"/>
        <v/>
      </c>
      <c r="O103" s="24"/>
      <c r="P103" s="24"/>
      <c r="T103" s="2" t="s">
        <v>141</v>
      </c>
      <c r="U103" s="82"/>
      <c r="V103" s="93">
        <f t="shared" si="17"/>
        <v>0</v>
      </c>
      <c r="W103" s="47" t="str">
        <f t="shared" si="18"/>
        <v>0</v>
      </c>
      <c r="X103" s="59">
        <f t="shared" si="19"/>
        <v>0</v>
      </c>
    </row>
    <row r="104" spans="1:24" x14ac:dyDescent="0.25">
      <c r="A104" s="22">
        <v>102</v>
      </c>
      <c r="B104" s="18"/>
      <c r="C104" s="19"/>
      <c r="D104" s="19"/>
      <c r="E104" s="87"/>
      <c r="F104" s="24"/>
      <c r="G104" s="4"/>
      <c r="H104" s="4" t="e">
        <f t="shared" si="10"/>
        <v>#N/A</v>
      </c>
      <c r="I104" s="4" t="str">
        <f t="shared" si="11"/>
        <v>00</v>
      </c>
      <c r="J104" s="4" t="str">
        <f t="shared" si="12"/>
        <v>00</v>
      </c>
      <c r="K104" s="14" t="e">
        <f t="shared" si="16"/>
        <v>#N/A</v>
      </c>
      <c r="L104" s="17" t="e">
        <f t="shared" si="13"/>
        <v>#N/A</v>
      </c>
      <c r="M104" s="20" t="str">
        <f t="shared" si="14"/>
        <v/>
      </c>
      <c r="N104" s="21" t="str">
        <f t="shared" si="15"/>
        <v/>
      </c>
      <c r="O104" s="24"/>
      <c r="P104" s="24"/>
      <c r="T104" s="2" t="s">
        <v>141</v>
      </c>
      <c r="U104" s="82"/>
      <c r="V104" s="93">
        <f t="shared" si="17"/>
        <v>0</v>
      </c>
      <c r="W104" s="47" t="str">
        <f t="shared" si="18"/>
        <v>0</v>
      </c>
      <c r="X104" s="59">
        <f t="shared" si="19"/>
        <v>0</v>
      </c>
    </row>
    <row r="105" spans="1:24" x14ac:dyDescent="0.25">
      <c r="A105" s="22">
        <v>103</v>
      </c>
      <c r="B105" s="18"/>
      <c r="C105" s="19"/>
      <c r="D105" s="19"/>
      <c r="E105" s="87"/>
      <c r="F105" s="24"/>
      <c r="G105" s="4"/>
      <c r="H105" s="4" t="e">
        <f t="shared" si="10"/>
        <v>#N/A</v>
      </c>
      <c r="I105" s="4" t="str">
        <f t="shared" si="11"/>
        <v>00</v>
      </c>
      <c r="J105" s="4" t="str">
        <f t="shared" si="12"/>
        <v>00</v>
      </c>
      <c r="K105" s="14" t="e">
        <f t="shared" si="16"/>
        <v>#N/A</v>
      </c>
      <c r="L105" s="17" t="e">
        <f t="shared" si="13"/>
        <v>#N/A</v>
      </c>
      <c r="M105" s="20" t="str">
        <f t="shared" si="14"/>
        <v/>
      </c>
      <c r="N105" s="21" t="str">
        <f t="shared" si="15"/>
        <v/>
      </c>
      <c r="O105" s="24"/>
      <c r="P105" s="24"/>
      <c r="T105" s="2" t="s">
        <v>141</v>
      </c>
      <c r="U105" s="82"/>
      <c r="V105" s="93">
        <f t="shared" si="17"/>
        <v>0</v>
      </c>
      <c r="W105" s="47" t="str">
        <f t="shared" si="18"/>
        <v>0</v>
      </c>
      <c r="X105" s="59">
        <f t="shared" si="19"/>
        <v>0</v>
      </c>
    </row>
    <row r="106" spans="1:24" x14ac:dyDescent="0.25">
      <c r="A106" s="22">
        <v>104</v>
      </c>
      <c r="B106" s="18"/>
      <c r="C106" s="19"/>
      <c r="D106" s="19"/>
      <c r="E106" s="87"/>
      <c r="F106" s="24"/>
      <c r="G106" s="4"/>
      <c r="H106" s="4" t="e">
        <f t="shared" si="10"/>
        <v>#N/A</v>
      </c>
      <c r="I106" s="4" t="str">
        <f t="shared" si="11"/>
        <v>00</v>
      </c>
      <c r="J106" s="4" t="str">
        <f t="shared" si="12"/>
        <v>00</v>
      </c>
      <c r="K106" s="14" t="e">
        <f t="shared" si="16"/>
        <v>#N/A</v>
      </c>
      <c r="L106" s="17" t="e">
        <f t="shared" si="13"/>
        <v>#N/A</v>
      </c>
      <c r="M106" s="20" t="str">
        <f t="shared" si="14"/>
        <v/>
      </c>
      <c r="N106" s="21" t="str">
        <f t="shared" si="15"/>
        <v/>
      </c>
      <c r="O106" s="24"/>
      <c r="P106" s="24"/>
      <c r="T106" s="2" t="s">
        <v>141</v>
      </c>
      <c r="U106" s="82"/>
      <c r="V106" s="93">
        <f t="shared" si="17"/>
        <v>0</v>
      </c>
      <c r="W106" s="47" t="str">
        <f t="shared" si="18"/>
        <v>0</v>
      </c>
      <c r="X106" s="59">
        <f t="shared" si="19"/>
        <v>0</v>
      </c>
    </row>
    <row r="107" spans="1:24" x14ac:dyDescent="0.25">
      <c r="A107" s="22">
        <v>105</v>
      </c>
      <c r="B107" s="18"/>
      <c r="C107" s="19"/>
      <c r="D107" s="19"/>
      <c r="E107" s="87"/>
      <c r="F107" s="24"/>
      <c r="G107" s="4"/>
      <c r="H107" s="4" t="e">
        <f t="shared" si="10"/>
        <v>#N/A</v>
      </c>
      <c r="I107" s="4" t="str">
        <f t="shared" si="11"/>
        <v>00</v>
      </c>
      <c r="J107" s="4" t="str">
        <f t="shared" si="12"/>
        <v>00</v>
      </c>
      <c r="K107" s="14" t="e">
        <f t="shared" si="16"/>
        <v>#N/A</v>
      </c>
      <c r="L107" s="17" t="e">
        <f t="shared" si="13"/>
        <v>#N/A</v>
      </c>
      <c r="M107" s="20" t="str">
        <f t="shared" si="14"/>
        <v/>
      </c>
      <c r="N107" s="21" t="str">
        <f t="shared" si="15"/>
        <v/>
      </c>
      <c r="O107" s="24"/>
      <c r="P107" s="24"/>
      <c r="T107" s="2" t="s">
        <v>141</v>
      </c>
      <c r="U107" s="82"/>
      <c r="V107" s="93">
        <f t="shared" si="17"/>
        <v>0</v>
      </c>
      <c r="W107" s="47" t="str">
        <f t="shared" si="18"/>
        <v>0</v>
      </c>
      <c r="X107" s="59">
        <f t="shared" si="19"/>
        <v>0</v>
      </c>
    </row>
    <row r="108" spans="1:24" x14ac:dyDescent="0.25">
      <c r="A108" s="22">
        <v>106</v>
      </c>
      <c r="B108" s="18"/>
      <c r="C108" s="19"/>
      <c r="D108" s="19"/>
      <c r="E108" s="87"/>
      <c r="F108" s="24"/>
      <c r="G108" s="4"/>
      <c r="H108" s="4" t="e">
        <f t="shared" si="10"/>
        <v>#N/A</v>
      </c>
      <c r="I108" s="4" t="str">
        <f t="shared" si="11"/>
        <v>00</v>
      </c>
      <c r="J108" s="4" t="str">
        <f t="shared" si="12"/>
        <v>00</v>
      </c>
      <c r="K108" s="14" t="e">
        <f t="shared" si="16"/>
        <v>#N/A</v>
      </c>
      <c r="L108" s="17" t="e">
        <f t="shared" si="13"/>
        <v>#N/A</v>
      </c>
      <c r="M108" s="20" t="str">
        <f t="shared" si="14"/>
        <v/>
      </c>
      <c r="N108" s="21" t="str">
        <f t="shared" si="15"/>
        <v/>
      </c>
      <c r="O108" s="24"/>
      <c r="P108" s="24"/>
      <c r="T108" s="2" t="s">
        <v>141</v>
      </c>
      <c r="U108" s="82"/>
      <c r="V108" s="93">
        <f t="shared" si="17"/>
        <v>0</v>
      </c>
      <c r="W108" s="47" t="str">
        <f t="shared" si="18"/>
        <v>0</v>
      </c>
      <c r="X108" s="59">
        <f t="shared" si="19"/>
        <v>0</v>
      </c>
    </row>
    <row r="109" spans="1:24" x14ac:dyDescent="0.25">
      <c r="A109" s="22">
        <v>107</v>
      </c>
      <c r="B109" s="18"/>
      <c r="C109" s="19"/>
      <c r="D109" s="19"/>
      <c r="E109" s="87"/>
      <c r="F109" s="24"/>
      <c r="G109" s="4"/>
      <c r="H109" s="4" t="e">
        <f t="shared" si="10"/>
        <v>#N/A</v>
      </c>
      <c r="I109" s="4" t="str">
        <f t="shared" si="11"/>
        <v>00</v>
      </c>
      <c r="J109" s="4" t="str">
        <f t="shared" si="12"/>
        <v>00</v>
      </c>
      <c r="K109" s="14" t="e">
        <f t="shared" si="16"/>
        <v>#N/A</v>
      </c>
      <c r="L109" s="17" t="e">
        <f t="shared" si="13"/>
        <v>#N/A</v>
      </c>
      <c r="M109" s="20" t="str">
        <f t="shared" si="14"/>
        <v/>
      </c>
      <c r="N109" s="21" t="str">
        <f t="shared" si="15"/>
        <v/>
      </c>
      <c r="O109" s="24"/>
      <c r="P109" s="24"/>
      <c r="T109" s="2" t="s">
        <v>141</v>
      </c>
      <c r="U109" s="82"/>
      <c r="V109" s="93">
        <f t="shared" si="17"/>
        <v>0</v>
      </c>
      <c r="W109" s="47" t="str">
        <f t="shared" si="18"/>
        <v>0</v>
      </c>
      <c r="X109" s="59">
        <f t="shared" si="19"/>
        <v>0</v>
      </c>
    </row>
    <row r="110" spans="1:24" x14ac:dyDescent="0.25">
      <c r="A110" s="22">
        <v>108</v>
      </c>
      <c r="B110" s="18"/>
      <c r="C110" s="19"/>
      <c r="D110" s="19"/>
      <c r="E110" s="87"/>
      <c r="F110" s="24"/>
      <c r="G110" s="4"/>
      <c r="H110" s="4" t="e">
        <f t="shared" si="10"/>
        <v>#N/A</v>
      </c>
      <c r="I110" s="4" t="str">
        <f t="shared" si="11"/>
        <v>00</v>
      </c>
      <c r="J110" s="4" t="str">
        <f t="shared" si="12"/>
        <v>00</v>
      </c>
      <c r="K110" s="14" t="e">
        <f t="shared" si="16"/>
        <v>#N/A</v>
      </c>
      <c r="L110" s="17" t="e">
        <f t="shared" si="13"/>
        <v>#N/A</v>
      </c>
      <c r="M110" s="20" t="str">
        <f t="shared" si="14"/>
        <v/>
      </c>
      <c r="N110" s="21" t="str">
        <f t="shared" si="15"/>
        <v/>
      </c>
      <c r="O110" s="24"/>
      <c r="P110" s="24"/>
      <c r="T110" s="2" t="s">
        <v>141</v>
      </c>
      <c r="U110" s="82"/>
      <c r="V110" s="93">
        <f t="shared" si="17"/>
        <v>0</v>
      </c>
      <c r="W110" s="47" t="str">
        <f t="shared" si="18"/>
        <v>0</v>
      </c>
      <c r="X110" s="59">
        <f t="shared" si="19"/>
        <v>0</v>
      </c>
    </row>
    <row r="111" spans="1:24" x14ac:dyDescent="0.25">
      <c r="A111" s="22">
        <v>109</v>
      </c>
      <c r="B111" s="18"/>
      <c r="C111" s="19"/>
      <c r="D111" s="19"/>
      <c r="E111" s="87"/>
      <c r="F111" s="24"/>
      <c r="G111" s="4"/>
      <c r="H111" s="4" t="e">
        <f t="shared" si="10"/>
        <v>#N/A</v>
      </c>
      <c r="I111" s="4" t="str">
        <f t="shared" si="11"/>
        <v>00</v>
      </c>
      <c r="J111" s="4" t="str">
        <f t="shared" si="12"/>
        <v>00</v>
      </c>
      <c r="K111" s="14" t="e">
        <f t="shared" si="16"/>
        <v>#N/A</v>
      </c>
      <c r="L111" s="17" t="e">
        <f t="shared" si="13"/>
        <v>#N/A</v>
      </c>
      <c r="M111" s="20" t="str">
        <f t="shared" si="14"/>
        <v/>
      </c>
      <c r="N111" s="21" t="str">
        <f t="shared" si="15"/>
        <v/>
      </c>
      <c r="O111" s="24"/>
      <c r="P111" s="24"/>
      <c r="T111" s="2" t="s">
        <v>141</v>
      </c>
      <c r="U111" s="82"/>
      <c r="V111" s="93">
        <f t="shared" si="17"/>
        <v>0</v>
      </c>
      <c r="W111" s="47" t="str">
        <f t="shared" si="18"/>
        <v>0</v>
      </c>
      <c r="X111" s="59">
        <f t="shared" si="19"/>
        <v>0</v>
      </c>
    </row>
    <row r="112" spans="1:24" x14ac:dyDescent="0.25">
      <c r="A112" s="22">
        <v>110</v>
      </c>
      <c r="B112" s="18"/>
      <c r="C112" s="19"/>
      <c r="D112" s="19"/>
      <c r="E112" s="87"/>
      <c r="F112" s="24"/>
      <c r="G112" s="4"/>
      <c r="H112" s="4" t="e">
        <f t="shared" si="10"/>
        <v>#N/A</v>
      </c>
      <c r="I112" s="4" t="str">
        <f t="shared" si="11"/>
        <v>00</v>
      </c>
      <c r="J112" s="4" t="str">
        <f t="shared" si="12"/>
        <v>00</v>
      </c>
      <c r="K112" s="14" t="e">
        <f t="shared" si="16"/>
        <v>#N/A</v>
      </c>
      <c r="L112" s="17" t="e">
        <f t="shared" si="13"/>
        <v>#N/A</v>
      </c>
      <c r="M112" s="20" t="str">
        <f t="shared" si="14"/>
        <v/>
      </c>
      <c r="N112" s="21" t="str">
        <f t="shared" si="15"/>
        <v/>
      </c>
      <c r="O112" s="24"/>
      <c r="P112" s="24"/>
      <c r="T112" s="2" t="s">
        <v>141</v>
      </c>
      <c r="U112" s="82"/>
      <c r="V112" s="93">
        <f t="shared" si="17"/>
        <v>0</v>
      </c>
      <c r="W112" s="47" t="str">
        <f t="shared" si="18"/>
        <v>0</v>
      </c>
      <c r="X112" s="59">
        <f t="shared" si="19"/>
        <v>0</v>
      </c>
    </row>
    <row r="113" spans="1:24" x14ac:dyDescent="0.25">
      <c r="A113" s="22">
        <v>111</v>
      </c>
      <c r="B113" s="18"/>
      <c r="C113" s="19"/>
      <c r="D113" s="19"/>
      <c r="E113" s="87"/>
      <c r="F113" s="24"/>
      <c r="G113" s="4"/>
      <c r="H113" s="4" t="e">
        <f t="shared" si="10"/>
        <v>#N/A</v>
      </c>
      <c r="I113" s="4" t="str">
        <f t="shared" si="11"/>
        <v>00</v>
      </c>
      <c r="J113" s="4" t="str">
        <f t="shared" si="12"/>
        <v>00</v>
      </c>
      <c r="K113" s="14" t="e">
        <f t="shared" si="16"/>
        <v>#N/A</v>
      </c>
      <c r="L113" s="17" t="e">
        <f t="shared" si="13"/>
        <v>#N/A</v>
      </c>
      <c r="M113" s="20" t="str">
        <f t="shared" si="14"/>
        <v/>
      </c>
      <c r="N113" s="21" t="str">
        <f t="shared" si="15"/>
        <v/>
      </c>
      <c r="O113" s="24"/>
      <c r="P113" s="24"/>
      <c r="T113" s="2" t="s">
        <v>141</v>
      </c>
      <c r="U113" s="82"/>
      <c r="V113" s="93">
        <f t="shared" si="17"/>
        <v>0</v>
      </c>
      <c r="W113" s="47" t="str">
        <f t="shared" si="18"/>
        <v>0</v>
      </c>
      <c r="X113" s="59">
        <f t="shared" si="19"/>
        <v>0</v>
      </c>
    </row>
    <row r="114" spans="1:24" x14ac:dyDescent="0.25">
      <c r="A114" s="22">
        <v>112</v>
      </c>
      <c r="B114" s="18"/>
      <c r="C114" s="19"/>
      <c r="D114" s="19"/>
      <c r="E114" s="87"/>
      <c r="F114" s="24"/>
      <c r="G114" s="4"/>
      <c r="H114" s="4" t="e">
        <f t="shared" si="10"/>
        <v>#N/A</v>
      </c>
      <c r="I114" s="4" t="str">
        <f t="shared" si="11"/>
        <v>00</v>
      </c>
      <c r="J114" s="4" t="str">
        <f t="shared" si="12"/>
        <v>00</v>
      </c>
      <c r="K114" s="14" t="e">
        <f t="shared" si="16"/>
        <v>#N/A</v>
      </c>
      <c r="L114" s="17" t="e">
        <f t="shared" si="13"/>
        <v>#N/A</v>
      </c>
      <c r="M114" s="20" t="str">
        <f t="shared" si="14"/>
        <v/>
      </c>
      <c r="N114" s="21" t="str">
        <f t="shared" si="15"/>
        <v/>
      </c>
      <c r="O114" s="24"/>
      <c r="P114" s="24"/>
      <c r="T114" s="2" t="s">
        <v>141</v>
      </c>
      <c r="U114" s="82"/>
      <c r="V114" s="93">
        <f t="shared" si="17"/>
        <v>0</v>
      </c>
      <c r="W114" s="47" t="str">
        <f t="shared" si="18"/>
        <v>0</v>
      </c>
      <c r="X114" s="59">
        <f t="shared" si="19"/>
        <v>0</v>
      </c>
    </row>
    <row r="115" spans="1:24" x14ac:dyDescent="0.25">
      <c r="A115" s="22">
        <v>113</v>
      </c>
      <c r="B115" s="18"/>
      <c r="C115" s="19"/>
      <c r="D115" s="19"/>
      <c r="E115" s="87"/>
      <c r="F115" s="24"/>
      <c r="G115" s="4"/>
      <c r="H115" s="4" t="e">
        <f t="shared" si="10"/>
        <v>#N/A</v>
      </c>
      <c r="I115" s="4" t="str">
        <f t="shared" si="11"/>
        <v>00</v>
      </c>
      <c r="J115" s="4" t="str">
        <f t="shared" si="12"/>
        <v>00</v>
      </c>
      <c r="K115" s="14" t="e">
        <f t="shared" si="16"/>
        <v>#N/A</v>
      </c>
      <c r="L115" s="17" t="e">
        <f t="shared" si="13"/>
        <v>#N/A</v>
      </c>
      <c r="M115" s="20" t="str">
        <f t="shared" si="14"/>
        <v/>
      </c>
      <c r="N115" s="21" t="str">
        <f t="shared" si="15"/>
        <v/>
      </c>
      <c r="O115" s="24"/>
      <c r="P115" s="24"/>
      <c r="T115" s="2" t="s">
        <v>141</v>
      </c>
      <c r="U115" s="82"/>
      <c r="V115" s="93">
        <f t="shared" si="17"/>
        <v>0</v>
      </c>
      <c r="W115" s="47" t="str">
        <f t="shared" si="18"/>
        <v>0</v>
      </c>
      <c r="X115" s="59">
        <f t="shared" si="19"/>
        <v>0</v>
      </c>
    </row>
    <row r="116" spans="1:24" x14ac:dyDescent="0.25">
      <c r="A116" s="22">
        <v>114</v>
      </c>
      <c r="B116" s="18"/>
      <c r="C116" s="19"/>
      <c r="D116" s="19"/>
      <c r="E116" s="87"/>
      <c r="F116" s="24"/>
      <c r="G116" s="4"/>
      <c r="H116" s="4" t="e">
        <f t="shared" si="10"/>
        <v>#N/A</v>
      </c>
      <c r="I116" s="4" t="str">
        <f t="shared" si="11"/>
        <v>00</v>
      </c>
      <c r="J116" s="4" t="str">
        <f t="shared" si="12"/>
        <v>00</v>
      </c>
      <c r="K116" s="14" t="e">
        <f t="shared" si="16"/>
        <v>#N/A</v>
      </c>
      <c r="L116" s="17" t="e">
        <f t="shared" si="13"/>
        <v>#N/A</v>
      </c>
      <c r="M116" s="20" t="str">
        <f t="shared" si="14"/>
        <v/>
      </c>
      <c r="N116" s="21" t="str">
        <f t="shared" si="15"/>
        <v/>
      </c>
      <c r="O116" s="24"/>
      <c r="P116" s="24"/>
      <c r="T116" s="2" t="s">
        <v>141</v>
      </c>
      <c r="U116" s="82"/>
      <c r="V116" s="93">
        <f t="shared" si="17"/>
        <v>0</v>
      </c>
      <c r="W116" s="47" t="str">
        <f t="shared" si="18"/>
        <v>0</v>
      </c>
      <c r="X116" s="59">
        <f t="shared" si="19"/>
        <v>0</v>
      </c>
    </row>
    <row r="117" spans="1:24" x14ac:dyDescent="0.25">
      <c r="A117" s="22">
        <v>115</v>
      </c>
      <c r="B117" s="18"/>
      <c r="C117" s="19"/>
      <c r="D117" s="19"/>
      <c r="E117" s="87"/>
      <c r="F117" s="24"/>
      <c r="G117" s="4"/>
      <c r="H117" s="4" t="e">
        <f t="shared" si="10"/>
        <v>#N/A</v>
      </c>
      <c r="I117" s="4" t="str">
        <f t="shared" si="11"/>
        <v>00</v>
      </c>
      <c r="J117" s="4" t="str">
        <f t="shared" si="12"/>
        <v>00</v>
      </c>
      <c r="K117" s="14" t="e">
        <f t="shared" si="16"/>
        <v>#N/A</v>
      </c>
      <c r="L117" s="17" t="e">
        <f t="shared" si="13"/>
        <v>#N/A</v>
      </c>
      <c r="M117" s="20" t="str">
        <f t="shared" si="14"/>
        <v/>
      </c>
      <c r="N117" s="21" t="str">
        <f t="shared" si="15"/>
        <v/>
      </c>
      <c r="O117" s="24"/>
      <c r="P117" s="24"/>
      <c r="T117" s="2" t="s">
        <v>141</v>
      </c>
      <c r="U117" s="82"/>
      <c r="V117" s="93">
        <f t="shared" si="17"/>
        <v>0</v>
      </c>
      <c r="W117" s="47" t="str">
        <f t="shared" si="18"/>
        <v>0</v>
      </c>
      <c r="X117" s="59">
        <f t="shared" si="19"/>
        <v>0</v>
      </c>
    </row>
    <row r="118" spans="1:24" x14ac:dyDescent="0.25">
      <c r="A118" s="22">
        <v>116</v>
      </c>
      <c r="B118" s="18"/>
      <c r="C118" s="19"/>
      <c r="D118" s="19"/>
      <c r="E118" s="87"/>
      <c r="F118" s="24"/>
      <c r="G118" s="4"/>
      <c r="H118" s="4" t="e">
        <f t="shared" si="10"/>
        <v>#N/A</v>
      </c>
      <c r="I118" s="4" t="str">
        <f t="shared" si="11"/>
        <v>00</v>
      </c>
      <c r="J118" s="4" t="str">
        <f t="shared" si="12"/>
        <v>00</v>
      </c>
      <c r="K118" s="14" t="e">
        <f t="shared" si="16"/>
        <v>#N/A</v>
      </c>
      <c r="L118" s="17" t="e">
        <f t="shared" si="13"/>
        <v>#N/A</v>
      </c>
      <c r="M118" s="20" t="str">
        <f t="shared" si="14"/>
        <v/>
      </c>
      <c r="N118" s="21" t="str">
        <f t="shared" si="15"/>
        <v/>
      </c>
      <c r="O118" s="24"/>
      <c r="P118" s="24"/>
      <c r="T118" s="2" t="s">
        <v>141</v>
      </c>
      <c r="U118" s="82"/>
      <c r="V118" s="93">
        <f t="shared" si="17"/>
        <v>0</v>
      </c>
      <c r="W118" s="47" t="str">
        <f t="shared" si="18"/>
        <v>0</v>
      </c>
      <c r="X118" s="59">
        <f t="shared" si="19"/>
        <v>0</v>
      </c>
    </row>
    <row r="119" spans="1:24" x14ac:dyDescent="0.25">
      <c r="A119" s="22">
        <v>117</v>
      </c>
      <c r="B119" s="18"/>
      <c r="C119" s="19"/>
      <c r="D119" s="19"/>
      <c r="E119" s="87"/>
      <c r="F119" s="24"/>
      <c r="G119" s="4"/>
      <c r="H119" s="4" t="e">
        <f t="shared" si="10"/>
        <v>#N/A</v>
      </c>
      <c r="I119" s="4" t="str">
        <f t="shared" si="11"/>
        <v>00</v>
      </c>
      <c r="J119" s="4" t="str">
        <f t="shared" si="12"/>
        <v>00</v>
      </c>
      <c r="K119" s="14" t="e">
        <f t="shared" si="16"/>
        <v>#N/A</v>
      </c>
      <c r="L119" s="17" t="e">
        <f t="shared" si="13"/>
        <v>#N/A</v>
      </c>
      <c r="M119" s="20" t="str">
        <f t="shared" si="14"/>
        <v/>
      </c>
      <c r="N119" s="21" t="str">
        <f t="shared" si="15"/>
        <v/>
      </c>
      <c r="O119" s="24"/>
      <c r="P119" s="24"/>
      <c r="T119" s="2" t="s">
        <v>141</v>
      </c>
      <c r="U119" s="82"/>
      <c r="V119" s="93">
        <f t="shared" si="17"/>
        <v>0</v>
      </c>
      <c r="W119" s="47" t="str">
        <f t="shared" si="18"/>
        <v>0</v>
      </c>
      <c r="X119" s="59">
        <f t="shared" si="19"/>
        <v>0</v>
      </c>
    </row>
    <row r="120" spans="1:24" x14ac:dyDescent="0.25">
      <c r="A120" s="22">
        <v>118</v>
      </c>
      <c r="B120" s="18"/>
      <c r="C120" s="19"/>
      <c r="D120" s="19"/>
      <c r="E120" s="87"/>
      <c r="F120" s="24"/>
      <c r="G120" s="4"/>
      <c r="H120" s="4" t="e">
        <f t="shared" si="10"/>
        <v>#N/A</v>
      </c>
      <c r="I120" s="4" t="str">
        <f t="shared" si="11"/>
        <v>00</v>
      </c>
      <c r="J120" s="4" t="str">
        <f t="shared" si="12"/>
        <v>00</v>
      </c>
      <c r="K120" s="14" t="e">
        <f t="shared" si="16"/>
        <v>#N/A</v>
      </c>
      <c r="L120" s="17" t="e">
        <f t="shared" si="13"/>
        <v>#N/A</v>
      </c>
      <c r="M120" s="20" t="str">
        <f t="shared" si="14"/>
        <v/>
      </c>
      <c r="N120" s="21" t="str">
        <f t="shared" si="15"/>
        <v/>
      </c>
      <c r="O120" s="24"/>
      <c r="P120" s="24"/>
      <c r="T120" s="2" t="s">
        <v>141</v>
      </c>
      <c r="U120" s="82"/>
      <c r="V120" s="93">
        <f t="shared" si="17"/>
        <v>0</v>
      </c>
      <c r="W120" s="47" t="str">
        <f t="shared" si="18"/>
        <v>0</v>
      </c>
      <c r="X120" s="59">
        <f t="shared" si="19"/>
        <v>0</v>
      </c>
    </row>
    <row r="121" spans="1:24" x14ac:dyDescent="0.25">
      <c r="A121" s="22">
        <v>119</v>
      </c>
      <c r="B121" s="18"/>
      <c r="C121" s="19"/>
      <c r="D121" s="19"/>
      <c r="E121" s="87"/>
      <c r="F121" s="24"/>
      <c r="G121" s="4"/>
      <c r="H121" s="4" t="e">
        <f t="shared" si="10"/>
        <v>#N/A</v>
      </c>
      <c r="I121" s="4" t="str">
        <f t="shared" si="11"/>
        <v>00</v>
      </c>
      <c r="J121" s="4" t="str">
        <f t="shared" si="12"/>
        <v>00</v>
      </c>
      <c r="K121" s="14" t="e">
        <f t="shared" si="16"/>
        <v>#N/A</v>
      </c>
      <c r="L121" s="17" t="e">
        <f t="shared" si="13"/>
        <v>#N/A</v>
      </c>
      <c r="M121" s="20" t="str">
        <f t="shared" si="14"/>
        <v/>
      </c>
      <c r="N121" s="21" t="str">
        <f t="shared" si="15"/>
        <v/>
      </c>
      <c r="O121" s="24"/>
      <c r="P121" s="24"/>
      <c r="T121" s="2" t="s">
        <v>141</v>
      </c>
      <c r="U121" s="82"/>
      <c r="V121" s="93">
        <f t="shared" si="17"/>
        <v>0</v>
      </c>
      <c r="W121" s="47" t="str">
        <f t="shared" si="18"/>
        <v>0</v>
      </c>
      <c r="X121" s="59">
        <f t="shared" si="19"/>
        <v>0</v>
      </c>
    </row>
    <row r="122" spans="1:24" x14ac:dyDescent="0.25">
      <c r="A122" s="22">
        <v>120</v>
      </c>
      <c r="B122" s="18"/>
      <c r="C122" s="19"/>
      <c r="D122" s="19"/>
      <c r="E122" s="87"/>
      <c r="F122" s="24"/>
      <c r="G122" s="4"/>
      <c r="H122" s="4" t="e">
        <f t="shared" si="10"/>
        <v>#N/A</v>
      </c>
      <c r="I122" s="4" t="str">
        <f t="shared" si="11"/>
        <v>00</v>
      </c>
      <c r="J122" s="4" t="str">
        <f t="shared" si="12"/>
        <v>00</v>
      </c>
      <c r="K122" s="14" t="e">
        <f t="shared" si="16"/>
        <v>#N/A</v>
      </c>
      <c r="L122" s="17" t="e">
        <f t="shared" si="13"/>
        <v>#N/A</v>
      </c>
      <c r="M122" s="20" t="str">
        <f t="shared" si="14"/>
        <v/>
      </c>
      <c r="N122" s="21" t="str">
        <f t="shared" si="15"/>
        <v/>
      </c>
      <c r="O122" s="24"/>
      <c r="P122" s="24"/>
      <c r="T122" s="2" t="s">
        <v>141</v>
      </c>
      <c r="U122" s="82"/>
      <c r="V122" s="93">
        <f t="shared" si="17"/>
        <v>0</v>
      </c>
      <c r="W122" s="47" t="str">
        <f t="shared" si="18"/>
        <v>0</v>
      </c>
      <c r="X122" s="59">
        <f t="shared" si="19"/>
        <v>0</v>
      </c>
    </row>
    <row r="123" spans="1:24" x14ac:dyDescent="0.25">
      <c r="A123" s="22">
        <v>121</v>
      </c>
      <c r="B123" s="18"/>
      <c r="C123" s="19"/>
      <c r="D123" s="19"/>
      <c r="E123" s="87"/>
      <c r="F123" s="24"/>
      <c r="G123" s="4"/>
      <c r="H123" s="4" t="e">
        <f t="shared" si="10"/>
        <v>#N/A</v>
      </c>
      <c r="I123" s="4" t="str">
        <f t="shared" si="11"/>
        <v>00</v>
      </c>
      <c r="J123" s="4" t="str">
        <f t="shared" si="12"/>
        <v>00</v>
      </c>
      <c r="K123" s="14" t="e">
        <f t="shared" si="16"/>
        <v>#N/A</v>
      </c>
      <c r="L123" s="17" t="e">
        <f t="shared" si="13"/>
        <v>#N/A</v>
      </c>
      <c r="M123" s="20" t="str">
        <f t="shared" si="14"/>
        <v/>
      </c>
      <c r="N123" s="21" t="str">
        <f t="shared" si="15"/>
        <v/>
      </c>
      <c r="O123" s="24"/>
      <c r="P123" s="24"/>
      <c r="T123" s="2" t="s">
        <v>141</v>
      </c>
      <c r="U123" s="82"/>
      <c r="V123" s="93">
        <f t="shared" si="17"/>
        <v>0</v>
      </c>
      <c r="W123" s="47" t="str">
        <f t="shared" si="18"/>
        <v>0</v>
      </c>
      <c r="X123" s="59">
        <f t="shared" si="19"/>
        <v>0</v>
      </c>
    </row>
    <row r="124" spans="1:24" x14ac:dyDescent="0.25">
      <c r="A124" s="22">
        <v>122</v>
      </c>
      <c r="B124" s="18"/>
      <c r="C124" s="19"/>
      <c r="D124" s="19"/>
      <c r="E124" s="87"/>
      <c r="F124" s="24"/>
      <c r="G124" s="4"/>
      <c r="H124" s="4" t="e">
        <f t="shared" si="10"/>
        <v>#N/A</v>
      </c>
      <c r="I124" s="4" t="str">
        <f t="shared" si="11"/>
        <v>00</v>
      </c>
      <c r="J124" s="4" t="str">
        <f t="shared" si="12"/>
        <v>00</v>
      </c>
      <c r="K124" s="14" t="e">
        <f t="shared" si="16"/>
        <v>#N/A</v>
      </c>
      <c r="L124" s="17" t="e">
        <f t="shared" si="13"/>
        <v>#N/A</v>
      </c>
      <c r="M124" s="20" t="str">
        <f t="shared" si="14"/>
        <v/>
      </c>
      <c r="N124" s="21" t="str">
        <f t="shared" si="15"/>
        <v/>
      </c>
      <c r="O124" s="24"/>
      <c r="P124" s="24"/>
      <c r="T124" s="2" t="s">
        <v>141</v>
      </c>
      <c r="U124" s="82"/>
      <c r="V124" s="93">
        <f t="shared" si="17"/>
        <v>0</v>
      </c>
      <c r="W124" s="47" t="str">
        <f t="shared" si="18"/>
        <v>0</v>
      </c>
      <c r="X124" s="59">
        <f t="shared" si="19"/>
        <v>0</v>
      </c>
    </row>
    <row r="125" spans="1:24" x14ac:dyDescent="0.25">
      <c r="A125" s="22">
        <v>123</v>
      </c>
      <c r="B125" s="18"/>
      <c r="C125" s="19"/>
      <c r="D125" s="19"/>
      <c r="E125" s="87"/>
      <c r="F125" s="24"/>
      <c r="G125" s="4"/>
      <c r="H125" s="4" t="e">
        <f t="shared" si="10"/>
        <v>#N/A</v>
      </c>
      <c r="I125" s="4" t="str">
        <f t="shared" si="11"/>
        <v>00</v>
      </c>
      <c r="J125" s="4" t="str">
        <f t="shared" si="12"/>
        <v>00</v>
      </c>
      <c r="K125" s="14" t="e">
        <f t="shared" si="16"/>
        <v>#N/A</v>
      </c>
      <c r="L125" s="17" t="e">
        <f t="shared" si="13"/>
        <v>#N/A</v>
      </c>
      <c r="M125" s="20" t="str">
        <f t="shared" si="14"/>
        <v/>
      </c>
      <c r="N125" s="21" t="str">
        <f t="shared" si="15"/>
        <v/>
      </c>
      <c r="O125" s="24"/>
      <c r="P125" s="24"/>
      <c r="T125" s="2" t="s">
        <v>141</v>
      </c>
      <c r="U125" s="82"/>
      <c r="V125" s="93">
        <f t="shared" si="17"/>
        <v>0</v>
      </c>
      <c r="W125" s="47" t="str">
        <f t="shared" si="18"/>
        <v>0</v>
      </c>
      <c r="X125" s="59">
        <f t="shared" si="19"/>
        <v>0</v>
      </c>
    </row>
    <row r="126" spans="1:24" x14ac:dyDescent="0.25">
      <c r="A126" s="22">
        <v>124</v>
      </c>
      <c r="B126" s="18"/>
      <c r="C126" s="19"/>
      <c r="D126" s="19"/>
      <c r="E126" s="87"/>
      <c r="F126" s="24"/>
      <c r="G126" s="4"/>
      <c r="H126" s="4" t="e">
        <f t="shared" si="10"/>
        <v>#N/A</v>
      </c>
      <c r="I126" s="4" t="str">
        <f t="shared" si="11"/>
        <v>00</v>
      </c>
      <c r="J126" s="4" t="str">
        <f t="shared" si="12"/>
        <v>00</v>
      </c>
      <c r="K126" s="14" t="e">
        <f t="shared" si="16"/>
        <v>#N/A</v>
      </c>
      <c r="L126" s="17" t="e">
        <f t="shared" si="13"/>
        <v>#N/A</v>
      </c>
      <c r="M126" s="20" t="str">
        <f t="shared" si="14"/>
        <v/>
      </c>
      <c r="N126" s="21" t="str">
        <f t="shared" si="15"/>
        <v/>
      </c>
      <c r="O126" s="24"/>
      <c r="P126" s="24"/>
      <c r="T126" s="2" t="s">
        <v>141</v>
      </c>
      <c r="U126" s="82"/>
      <c r="V126" s="93">
        <f t="shared" si="17"/>
        <v>0</v>
      </c>
      <c r="W126" s="47" t="str">
        <f t="shared" si="18"/>
        <v>0</v>
      </c>
      <c r="X126" s="59">
        <f t="shared" si="19"/>
        <v>0</v>
      </c>
    </row>
    <row r="127" spans="1:24" x14ac:dyDescent="0.25">
      <c r="A127" s="22">
        <v>125</v>
      </c>
      <c r="B127" s="18"/>
      <c r="C127" s="19"/>
      <c r="D127" s="19"/>
      <c r="E127" s="87"/>
      <c r="F127" s="24"/>
      <c r="G127" s="4"/>
      <c r="H127" s="4" t="e">
        <f t="shared" si="10"/>
        <v>#N/A</v>
      </c>
      <c r="I127" s="4" t="str">
        <f t="shared" si="11"/>
        <v>00</v>
      </c>
      <c r="J127" s="4" t="str">
        <f t="shared" si="12"/>
        <v>00</v>
      </c>
      <c r="K127" s="14" t="e">
        <f t="shared" si="16"/>
        <v>#N/A</v>
      </c>
      <c r="L127" s="17" t="e">
        <f t="shared" si="13"/>
        <v>#N/A</v>
      </c>
      <c r="M127" s="20" t="str">
        <f t="shared" si="14"/>
        <v/>
      </c>
      <c r="N127" s="21" t="str">
        <f t="shared" si="15"/>
        <v/>
      </c>
      <c r="O127" s="24"/>
      <c r="P127" s="24"/>
      <c r="T127" s="2" t="s">
        <v>141</v>
      </c>
      <c r="U127" s="82"/>
      <c r="V127" s="93">
        <f t="shared" si="17"/>
        <v>0</v>
      </c>
      <c r="W127" s="47" t="str">
        <f t="shared" si="18"/>
        <v>0</v>
      </c>
      <c r="X127" s="59">
        <f t="shared" si="19"/>
        <v>0</v>
      </c>
    </row>
    <row r="128" spans="1:24" x14ac:dyDescent="0.25">
      <c r="A128" s="22">
        <v>126</v>
      </c>
      <c r="B128" s="18"/>
      <c r="C128" s="19"/>
      <c r="D128" s="19"/>
      <c r="E128" s="87"/>
      <c r="F128" s="24"/>
      <c r="G128" s="4"/>
      <c r="H128" s="4" t="e">
        <f t="shared" si="10"/>
        <v>#N/A</v>
      </c>
      <c r="I128" s="4" t="str">
        <f t="shared" si="11"/>
        <v>00</v>
      </c>
      <c r="J128" s="4" t="str">
        <f t="shared" si="12"/>
        <v>00</v>
      </c>
      <c r="K128" s="14" t="e">
        <f t="shared" si="16"/>
        <v>#N/A</v>
      </c>
      <c r="L128" s="17" t="e">
        <f t="shared" si="13"/>
        <v>#N/A</v>
      </c>
      <c r="M128" s="20" t="str">
        <f t="shared" si="14"/>
        <v/>
      </c>
      <c r="N128" s="21" t="str">
        <f t="shared" si="15"/>
        <v/>
      </c>
      <c r="O128" s="24"/>
      <c r="P128" s="24"/>
      <c r="T128" s="2" t="s">
        <v>141</v>
      </c>
      <c r="U128" s="82"/>
      <c r="V128" s="93">
        <f t="shared" si="17"/>
        <v>0</v>
      </c>
      <c r="W128" s="47" t="str">
        <f t="shared" si="18"/>
        <v>0</v>
      </c>
      <c r="X128" s="59">
        <f t="shared" si="19"/>
        <v>0</v>
      </c>
    </row>
    <row r="129" spans="1:24" x14ac:dyDescent="0.25">
      <c r="A129" s="22">
        <v>127</v>
      </c>
      <c r="B129" s="18"/>
      <c r="C129" s="19"/>
      <c r="D129" s="19"/>
      <c r="E129" s="87"/>
      <c r="F129" s="24"/>
      <c r="G129" s="4"/>
      <c r="H129" s="4" t="e">
        <f t="shared" si="10"/>
        <v>#N/A</v>
      </c>
      <c r="I129" s="4" t="str">
        <f t="shared" si="11"/>
        <v>00</v>
      </c>
      <c r="J129" s="4" t="str">
        <f t="shared" si="12"/>
        <v>00</v>
      </c>
      <c r="K129" s="14" t="e">
        <f t="shared" si="16"/>
        <v>#N/A</v>
      </c>
      <c r="L129" s="17" t="e">
        <f t="shared" si="13"/>
        <v>#N/A</v>
      </c>
      <c r="M129" s="20" t="str">
        <f t="shared" si="14"/>
        <v/>
      </c>
      <c r="N129" s="21" t="str">
        <f t="shared" si="15"/>
        <v/>
      </c>
      <c r="O129" s="24"/>
      <c r="P129" s="24"/>
      <c r="T129" s="2" t="s">
        <v>141</v>
      </c>
      <c r="U129" s="82"/>
      <c r="V129" s="93">
        <f t="shared" si="17"/>
        <v>0</v>
      </c>
      <c r="W129" s="47" t="str">
        <f t="shared" si="18"/>
        <v>0</v>
      </c>
      <c r="X129" s="59">
        <f t="shared" si="19"/>
        <v>0</v>
      </c>
    </row>
    <row r="130" spans="1:24" x14ac:dyDescent="0.25">
      <c r="A130" s="22">
        <v>128</v>
      </c>
      <c r="B130" s="18"/>
      <c r="C130" s="19"/>
      <c r="D130" s="19"/>
      <c r="E130" s="87"/>
      <c r="F130" s="24"/>
      <c r="G130" s="4"/>
      <c r="H130" s="4" t="e">
        <f t="shared" si="10"/>
        <v>#N/A</v>
      </c>
      <c r="I130" s="4" t="str">
        <f t="shared" si="11"/>
        <v>00</v>
      </c>
      <c r="J130" s="4" t="str">
        <f t="shared" si="12"/>
        <v>00</v>
      </c>
      <c r="K130" s="14" t="e">
        <f t="shared" si="16"/>
        <v>#N/A</v>
      </c>
      <c r="L130" s="17" t="e">
        <f t="shared" si="13"/>
        <v>#N/A</v>
      </c>
      <c r="M130" s="20" t="str">
        <f t="shared" si="14"/>
        <v/>
      </c>
      <c r="N130" s="21" t="str">
        <f t="shared" si="15"/>
        <v/>
      </c>
      <c r="O130" s="24"/>
      <c r="P130" s="24"/>
      <c r="T130" s="2" t="s">
        <v>141</v>
      </c>
      <c r="U130" s="82"/>
      <c r="V130" s="93">
        <f t="shared" si="17"/>
        <v>0</v>
      </c>
      <c r="W130" s="47" t="str">
        <f t="shared" si="18"/>
        <v>0</v>
      </c>
      <c r="X130" s="59">
        <f t="shared" si="19"/>
        <v>0</v>
      </c>
    </row>
    <row r="131" spans="1:24" x14ac:dyDescent="0.25">
      <c r="A131" s="22">
        <v>129</v>
      </c>
      <c r="B131" s="18"/>
      <c r="C131" s="19"/>
      <c r="D131" s="19"/>
      <c r="E131" s="87"/>
      <c r="F131" s="24"/>
      <c r="G131" s="4"/>
      <c r="H131" s="4" t="e">
        <f t="shared" ref="H131:H194" si="20">VLOOKUP(B131,$F$2:$G$39,2,FALSE)</f>
        <v>#N/A</v>
      </c>
      <c r="I131" s="4" t="str">
        <f t="shared" ref="I131:I194" si="21">IF(ISERROR(VLOOKUP(C131,F:G,2,FALSE)),"00",(VLOOKUP(C131,F:G,2,FALSE)))</f>
        <v>00</v>
      </c>
      <c r="J131" s="4" t="str">
        <f t="shared" ref="J131:J194" si="22">IF(ISERROR(VLOOKUP(D131,F:G,2,FALSE)),"00",(VLOOKUP(D131,F:G,2,FALSE)))</f>
        <v>00</v>
      </c>
      <c r="K131" s="14" t="e">
        <f t="shared" si="16"/>
        <v>#N/A</v>
      </c>
      <c r="L131" s="17" t="e">
        <f t="shared" ref="L131:L194" si="23">IF(LEN(K131)&gt;8,H131,K131)</f>
        <v>#N/A</v>
      </c>
      <c r="M131" s="20" t="str">
        <f t="shared" ref="M131:M194" si="24">IF(ISERROR(VLOOKUP(L131,L:L,1,FALSE)),"",(VLOOKUP(L131,L:L,1,FALSE)))</f>
        <v/>
      </c>
      <c r="N131" s="21" t="str">
        <f t="shared" ref="N131:N194" si="25">IF(ISERROR(VLOOKUP(E131,E:E,1,FALSE)),"",(VLOOKUP(E131,E:E,1,FALSE)))</f>
        <v/>
      </c>
      <c r="O131" s="24"/>
      <c r="P131" s="24"/>
      <c r="T131" s="2" t="s">
        <v>141</v>
      </c>
      <c r="U131" s="82"/>
      <c r="V131" s="93">
        <f t="shared" si="17"/>
        <v>0</v>
      </c>
      <c r="W131" s="47" t="str">
        <f t="shared" si="18"/>
        <v>0</v>
      </c>
      <c r="X131" s="59">
        <f t="shared" si="19"/>
        <v>0</v>
      </c>
    </row>
    <row r="132" spans="1:24" x14ac:dyDescent="0.25">
      <c r="A132" s="22">
        <v>130</v>
      </c>
      <c r="B132" s="18"/>
      <c r="C132" s="19"/>
      <c r="D132" s="19"/>
      <c r="E132" s="87"/>
      <c r="F132" s="24"/>
      <c r="G132" s="4"/>
      <c r="H132" s="4" t="e">
        <f t="shared" si="20"/>
        <v>#N/A</v>
      </c>
      <c r="I132" s="4" t="str">
        <f t="shared" si="21"/>
        <v>00</v>
      </c>
      <c r="J132" s="4" t="str">
        <f t="shared" si="22"/>
        <v>00</v>
      </c>
      <c r="K132" s="14" t="e">
        <f t="shared" ref="K132:K195" si="26">CONCATENATE(H132,I132,J132)</f>
        <v>#N/A</v>
      </c>
      <c r="L132" s="17" t="e">
        <f t="shared" si="23"/>
        <v>#N/A</v>
      </c>
      <c r="M132" s="20" t="str">
        <f t="shared" si="24"/>
        <v/>
      </c>
      <c r="N132" s="21" t="str">
        <f t="shared" si="25"/>
        <v/>
      </c>
      <c r="O132" s="24"/>
      <c r="P132" s="24"/>
      <c r="T132" s="2" t="s">
        <v>141</v>
      </c>
      <c r="U132" s="82"/>
      <c r="V132" s="93">
        <f t="shared" ref="V132:V195" si="27">IF(ISERROR(VLOOKUP(U131,U:U,1,FALSE)),"",(VLOOKUP(U131,U:U,1,FALSE)))</f>
        <v>0</v>
      </c>
      <c r="W132" s="47" t="str">
        <f t="shared" ref="W132:W195" si="28">BIN2HEX(V132)</f>
        <v>0</v>
      </c>
      <c r="X132" s="59">
        <f t="shared" ref="X132:X195" si="29">BIN2DEC(V132)</f>
        <v>0</v>
      </c>
    </row>
    <row r="133" spans="1:24" x14ac:dyDescent="0.25">
      <c r="A133" s="22">
        <v>131</v>
      </c>
      <c r="B133" s="18"/>
      <c r="C133" s="19"/>
      <c r="D133" s="19"/>
      <c r="E133" s="87"/>
      <c r="F133" s="24"/>
      <c r="G133" s="4"/>
      <c r="H133" s="4" t="e">
        <f t="shared" si="20"/>
        <v>#N/A</v>
      </c>
      <c r="I133" s="4" t="str">
        <f t="shared" si="21"/>
        <v>00</v>
      </c>
      <c r="J133" s="4" t="str">
        <f t="shared" si="22"/>
        <v>00</v>
      </c>
      <c r="K133" s="14" t="e">
        <f t="shared" si="26"/>
        <v>#N/A</v>
      </c>
      <c r="L133" s="17" t="e">
        <f t="shared" si="23"/>
        <v>#N/A</v>
      </c>
      <c r="M133" s="20" t="str">
        <f t="shared" si="24"/>
        <v/>
      </c>
      <c r="N133" s="21" t="str">
        <f t="shared" si="25"/>
        <v/>
      </c>
      <c r="O133" s="24"/>
      <c r="P133" s="24"/>
      <c r="T133" s="2" t="s">
        <v>141</v>
      </c>
      <c r="U133" s="82"/>
      <c r="V133" s="93">
        <f t="shared" si="27"/>
        <v>0</v>
      </c>
      <c r="W133" s="47" t="str">
        <f t="shared" si="28"/>
        <v>0</v>
      </c>
      <c r="X133" s="59">
        <f t="shared" si="29"/>
        <v>0</v>
      </c>
    </row>
    <row r="134" spans="1:24" x14ac:dyDescent="0.25">
      <c r="A134" s="22">
        <v>132</v>
      </c>
      <c r="B134" s="18"/>
      <c r="C134" s="19"/>
      <c r="D134" s="19"/>
      <c r="E134" s="87"/>
      <c r="F134" s="24"/>
      <c r="G134" s="4"/>
      <c r="H134" s="4" t="e">
        <f t="shared" si="20"/>
        <v>#N/A</v>
      </c>
      <c r="I134" s="4" t="str">
        <f t="shared" si="21"/>
        <v>00</v>
      </c>
      <c r="J134" s="4" t="str">
        <f t="shared" si="22"/>
        <v>00</v>
      </c>
      <c r="K134" s="14" t="e">
        <f t="shared" si="26"/>
        <v>#N/A</v>
      </c>
      <c r="L134" s="17" t="e">
        <f t="shared" si="23"/>
        <v>#N/A</v>
      </c>
      <c r="M134" s="20" t="str">
        <f t="shared" si="24"/>
        <v/>
      </c>
      <c r="N134" s="21" t="str">
        <f t="shared" si="25"/>
        <v/>
      </c>
      <c r="O134" s="24"/>
      <c r="P134" s="24"/>
      <c r="T134" s="2" t="s">
        <v>141</v>
      </c>
      <c r="U134" s="82"/>
      <c r="V134" s="93">
        <f t="shared" si="27"/>
        <v>0</v>
      </c>
      <c r="W134" s="47" t="str">
        <f t="shared" si="28"/>
        <v>0</v>
      </c>
      <c r="X134" s="59">
        <f t="shared" si="29"/>
        <v>0</v>
      </c>
    </row>
    <row r="135" spans="1:24" x14ac:dyDescent="0.25">
      <c r="A135" s="22">
        <v>133</v>
      </c>
      <c r="B135" s="18"/>
      <c r="C135" s="19"/>
      <c r="D135" s="19"/>
      <c r="E135" s="87"/>
      <c r="F135" s="24"/>
      <c r="G135" s="4"/>
      <c r="H135" s="4" t="e">
        <f t="shared" si="20"/>
        <v>#N/A</v>
      </c>
      <c r="I135" s="4" t="str">
        <f t="shared" si="21"/>
        <v>00</v>
      </c>
      <c r="J135" s="4" t="str">
        <f t="shared" si="22"/>
        <v>00</v>
      </c>
      <c r="K135" s="14" t="e">
        <f t="shared" si="26"/>
        <v>#N/A</v>
      </c>
      <c r="L135" s="17" t="e">
        <f t="shared" si="23"/>
        <v>#N/A</v>
      </c>
      <c r="M135" s="20" t="str">
        <f t="shared" si="24"/>
        <v/>
      </c>
      <c r="N135" s="21" t="str">
        <f t="shared" si="25"/>
        <v/>
      </c>
      <c r="O135" s="24"/>
      <c r="P135" s="24"/>
      <c r="T135" s="2" t="s">
        <v>141</v>
      </c>
      <c r="U135" s="82"/>
      <c r="V135" s="93">
        <f t="shared" si="27"/>
        <v>0</v>
      </c>
      <c r="W135" s="47" t="str">
        <f t="shared" si="28"/>
        <v>0</v>
      </c>
      <c r="X135" s="59">
        <f t="shared" si="29"/>
        <v>0</v>
      </c>
    </row>
    <row r="136" spans="1:24" x14ac:dyDescent="0.25">
      <c r="A136" s="22">
        <v>134</v>
      </c>
      <c r="B136" s="18"/>
      <c r="C136" s="19"/>
      <c r="D136" s="19"/>
      <c r="E136" s="87"/>
      <c r="F136" s="24"/>
      <c r="G136" s="4"/>
      <c r="H136" s="4" t="e">
        <f t="shared" si="20"/>
        <v>#N/A</v>
      </c>
      <c r="I136" s="4" t="str">
        <f t="shared" si="21"/>
        <v>00</v>
      </c>
      <c r="J136" s="4" t="str">
        <f t="shared" si="22"/>
        <v>00</v>
      </c>
      <c r="K136" s="14" t="e">
        <f t="shared" si="26"/>
        <v>#N/A</v>
      </c>
      <c r="L136" s="17" t="e">
        <f t="shared" si="23"/>
        <v>#N/A</v>
      </c>
      <c r="M136" s="20" t="str">
        <f t="shared" si="24"/>
        <v/>
      </c>
      <c r="N136" s="21" t="str">
        <f t="shared" si="25"/>
        <v/>
      </c>
      <c r="O136" s="24"/>
      <c r="P136" s="24"/>
      <c r="T136" s="2" t="s">
        <v>141</v>
      </c>
      <c r="U136" s="82"/>
      <c r="V136" s="93">
        <f t="shared" si="27"/>
        <v>0</v>
      </c>
      <c r="W136" s="47" t="str">
        <f t="shared" si="28"/>
        <v>0</v>
      </c>
      <c r="X136" s="59">
        <f t="shared" si="29"/>
        <v>0</v>
      </c>
    </row>
    <row r="137" spans="1:24" x14ac:dyDescent="0.25">
      <c r="A137" s="22">
        <v>135</v>
      </c>
      <c r="B137" s="18"/>
      <c r="C137" s="19"/>
      <c r="D137" s="19"/>
      <c r="E137" s="87"/>
      <c r="F137" s="24"/>
      <c r="G137" s="4"/>
      <c r="H137" s="4" t="e">
        <f t="shared" si="20"/>
        <v>#N/A</v>
      </c>
      <c r="I137" s="4" t="str">
        <f t="shared" si="21"/>
        <v>00</v>
      </c>
      <c r="J137" s="4" t="str">
        <f t="shared" si="22"/>
        <v>00</v>
      </c>
      <c r="K137" s="14" t="e">
        <f t="shared" si="26"/>
        <v>#N/A</v>
      </c>
      <c r="L137" s="17" t="e">
        <f t="shared" si="23"/>
        <v>#N/A</v>
      </c>
      <c r="M137" s="20" t="str">
        <f t="shared" si="24"/>
        <v/>
      </c>
      <c r="N137" s="21" t="str">
        <f t="shared" si="25"/>
        <v/>
      </c>
      <c r="O137" s="24"/>
      <c r="P137" s="24"/>
      <c r="T137" s="2" t="s">
        <v>141</v>
      </c>
      <c r="U137" s="82"/>
      <c r="V137" s="93">
        <f t="shared" si="27"/>
        <v>0</v>
      </c>
      <c r="W137" s="47" t="str">
        <f t="shared" si="28"/>
        <v>0</v>
      </c>
      <c r="X137" s="59">
        <f t="shared" si="29"/>
        <v>0</v>
      </c>
    </row>
    <row r="138" spans="1:24" x14ac:dyDescent="0.25">
      <c r="A138" s="22">
        <v>136</v>
      </c>
      <c r="B138" s="18"/>
      <c r="C138" s="19"/>
      <c r="D138" s="19"/>
      <c r="E138" s="87"/>
      <c r="F138" s="24"/>
      <c r="G138" s="4"/>
      <c r="H138" s="4" t="e">
        <f t="shared" si="20"/>
        <v>#N/A</v>
      </c>
      <c r="I138" s="4" t="str">
        <f t="shared" si="21"/>
        <v>00</v>
      </c>
      <c r="J138" s="4" t="str">
        <f t="shared" si="22"/>
        <v>00</v>
      </c>
      <c r="K138" s="14" t="e">
        <f t="shared" si="26"/>
        <v>#N/A</v>
      </c>
      <c r="L138" s="17" t="e">
        <f t="shared" si="23"/>
        <v>#N/A</v>
      </c>
      <c r="M138" s="20" t="str">
        <f t="shared" si="24"/>
        <v/>
      </c>
      <c r="N138" s="21" t="str">
        <f t="shared" si="25"/>
        <v/>
      </c>
      <c r="O138" s="24"/>
      <c r="P138" s="24"/>
      <c r="T138" s="2" t="s">
        <v>141</v>
      </c>
      <c r="U138" s="82"/>
      <c r="V138" s="93">
        <f t="shared" si="27"/>
        <v>0</v>
      </c>
      <c r="W138" s="47" t="str">
        <f t="shared" si="28"/>
        <v>0</v>
      </c>
      <c r="X138" s="59">
        <f t="shared" si="29"/>
        <v>0</v>
      </c>
    </row>
    <row r="139" spans="1:24" x14ac:dyDescent="0.25">
      <c r="A139" s="22">
        <v>137</v>
      </c>
      <c r="B139" s="18"/>
      <c r="C139" s="19"/>
      <c r="D139" s="19"/>
      <c r="E139" s="87"/>
      <c r="F139" s="24"/>
      <c r="G139" s="4"/>
      <c r="H139" s="4" t="e">
        <f t="shared" si="20"/>
        <v>#N/A</v>
      </c>
      <c r="I139" s="4" t="str">
        <f t="shared" si="21"/>
        <v>00</v>
      </c>
      <c r="J139" s="4" t="str">
        <f t="shared" si="22"/>
        <v>00</v>
      </c>
      <c r="K139" s="14" t="e">
        <f t="shared" si="26"/>
        <v>#N/A</v>
      </c>
      <c r="L139" s="17" t="e">
        <f t="shared" si="23"/>
        <v>#N/A</v>
      </c>
      <c r="M139" s="20" t="str">
        <f t="shared" si="24"/>
        <v/>
      </c>
      <c r="N139" s="21" t="str">
        <f t="shared" si="25"/>
        <v/>
      </c>
      <c r="O139" s="24"/>
      <c r="P139" s="24"/>
      <c r="T139" s="2" t="s">
        <v>141</v>
      </c>
      <c r="U139" s="82"/>
      <c r="V139" s="93">
        <f t="shared" si="27"/>
        <v>0</v>
      </c>
      <c r="W139" s="47" t="str">
        <f t="shared" si="28"/>
        <v>0</v>
      </c>
      <c r="X139" s="59">
        <f t="shared" si="29"/>
        <v>0</v>
      </c>
    </row>
    <row r="140" spans="1:24" x14ac:dyDescent="0.25">
      <c r="A140" s="22">
        <v>138</v>
      </c>
      <c r="B140" s="18"/>
      <c r="C140" s="19"/>
      <c r="D140" s="19"/>
      <c r="E140" s="87"/>
      <c r="F140" s="24"/>
      <c r="G140" s="4"/>
      <c r="H140" s="4" t="e">
        <f t="shared" si="20"/>
        <v>#N/A</v>
      </c>
      <c r="I140" s="4" t="str">
        <f t="shared" si="21"/>
        <v>00</v>
      </c>
      <c r="J140" s="4" t="str">
        <f t="shared" si="22"/>
        <v>00</v>
      </c>
      <c r="K140" s="14" t="e">
        <f t="shared" si="26"/>
        <v>#N/A</v>
      </c>
      <c r="L140" s="17" t="e">
        <f t="shared" si="23"/>
        <v>#N/A</v>
      </c>
      <c r="M140" s="20" t="str">
        <f t="shared" si="24"/>
        <v/>
      </c>
      <c r="N140" s="21" t="str">
        <f t="shared" si="25"/>
        <v/>
      </c>
      <c r="O140" s="24"/>
      <c r="P140" s="24"/>
      <c r="T140" s="2" t="s">
        <v>141</v>
      </c>
      <c r="U140" s="82"/>
      <c r="V140" s="93">
        <f t="shared" si="27"/>
        <v>0</v>
      </c>
      <c r="W140" s="47" t="str">
        <f t="shared" si="28"/>
        <v>0</v>
      </c>
      <c r="X140" s="59">
        <f t="shared" si="29"/>
        <v>0</v>
      </c>
    </row>
    <row r="141" spans="1:24" x14ac:dyDescent="0.25">
      <c r="A141" s="22">
        <v>139</v>
      </c>
      <c r="B141" s="18"/>
      <c r="C141" s="19"/>
      <c r="D141" s="19"/>
      <c r="E141" s="87"/>
      <c r="F141" s="24"/>
      <c r="G141" s="4"/>
      <c r="H141" s="4" t="e">
        <f t="shared" si="20"/>
        <v>#N/A</v>
      </c>
      <c r="I141" s="4" t="str">
        <f t="shared" si="21"/>
        <v>00</v>
      </c>
      <c r="J141" s="4" t="str">
        <f t="shared" si="22"/>
        <v>00</v>
      </c>
      <c r="K141" s="14" t="e">
        <f t="shared" si="26"/>
        <v>#N/A</v>
      </c>
      <c r="L141" s="17" t="e">
        <f t="shared" si="23"/>
        <v>#N/A</v>
      </c>
      <c r="M141" s="20" t="str">
        <f t="shared" si="24"/>
        <v/>
      </c>
      <c r="N141" s="21" t="str">
        <f t="shared" si="25"/>
        <v/>
      </c>
      <c r="O141" s="24"/>
      <c r="P141" s="24"/>
      <c r="T141" s="2" t="s">
        <v>141</v>
      </c>
      <c r="U141" s="82"/>
      <c r="V141" s="93">
        <f t="shared" si="27"/>
        <v>0</v>
      </c>
      <c r="W141" s="47" t="str">
        <f t="shared" si="28"/>
        <v>0</v>
      </c>
      <c r="X141" s="59">
        <f t="shared" si="29"/>
        <v>0</v>
      </c>
    </row>
    <row r="142" spans="1:24" x14ac:dyDescent="0.25">
      <c r="A142" s="22">
        <v>140</v>
      </c>
      <c r="B142" s="18"/>
      <c r="C142" s="19"/>
      <c r="D142" s="19"/>
      <c r="E142" s="87"/>
      <c r="F142" s="24"/>
      <c r="G142" s="4"/>
      <c r="H142" s="4" t="e">
        <f t="shared" si="20"/>
        <v>#N/A</v>
      </c>
      <c r="I142" s="4" t="str">
        <f t="shared" si="21"/>
        <v>00</v>
      </c>
      <c r="J142" s="4" t="str">
        <f t="shared" si="22"/>
        <v>00</v>
      </c>
      <c r="K142" s="14" t="e">
        <f t="shared" si="26"/>
        <v>#N/A</v>
      </c>
      <c r="L142" s="17" t="e">
        <f t="shared" si="23"/>
        <v>#N/A</v>
      </c>
      <c r="M142" s="20" t="str">
        <f t="shared" si="24"/>
        <v/>
      </c>
      <c r="N142" s="21" t="str">
        <f t="shared" si="25"/>
        <v/>
      </c>
      <c r="O142" s="24"/>
      <c r="P142" s="24"/>
      <c r="T142" s="2" t="s">
        <v>141</v>
      </c>
      <c r="U142" s="82"/>
      <c r="V142" s="93">
        <f t="shared" si="27"/>
        <v>0</v>
      </c>
      <c r="W142" s="47" t="str">
        <f t="shared" si="28"/>
        <v>0</v>
      </c>
      <c r="X142" s="59">
        <f t="shared" si="29"/>
        <v>0</v>
      </c>
    </row>
    <row r="143" spans="1:24" x14ac:dyDescent="0.25">
      <c r="A143" s="22">
        <v>141</v>
      </c>
      <c r="B143" s="18"/>
      <c r="C143" s="19"/>
      <c r="D143" s="19"/>
      <c r="E143" s="87"/>
      <c r="F143" s="24"/>
      <c r="G143" s="4"/>
      <c r="H143" s="4" t="e">
        <f t="shared" si="20"/>
        <v>#N/A</v>
      </c>
      <c r="I143" s="4" t="str">
        <f t="shared" si="21"/>
        <v>00</v>
      </c>
      <c r="J143" s="4" t="str">
        <f t="shared" si="22"/>
        <v>00</v>
      </c>
      <c r="K143" s="14" t="e">
        <f t="shared" si="26"/>
        <v>#N/A</v>
      </c>
      <c r="L143" s="17" t="e">
        <f t="shared" si="23"/>
        <v>#N/A</v>
      </c>
      <c r="M143" s="20" t="str">
        <f t="shared" si="24"/>
        <v/>
      </c>
      <c r="N143" s="21" t="str">
        <f t="shared" si="25"/>
        <v/>
      </c>
      <c r="O143" s="24"/>
      <c r="P143" s="24"/>
      <c r="T143" s="2" t="s">
        <v>141</v>
      </c>
      <c r="U143" s="82"/>
      <c r="V143" s="93">
        <f t="shared" si="27"/>
        <v>0</v>
      </c>
      <c r="W143" s="47" t="str">
        <f t="shared" si="28"/>
        <v>0</v>
      </c>
      <c r="X143" s="59">
        <f t="shared" si="29"/>
        <v>0</v>
      </c>
    </row>
    <row r="144" spans="1:24" x14ac:dyDescent="0.25">
      <c r="A144" s="22">
        <v>142</v>
      </c>
      <c r="B144" s="18"/>
      <c r="C144" s="19"/>
      <c r="D144" s="19"/>
      <c r="E144" s="87"/>
      <c r="F144" s="24"/>
      <c r="G144" s="4"/>
      <c r="H144" s="4" t="e">
        <f t="shared" si="20"/>
        <v>#N/A</v>
      </c>
      <c r="I144" s="4" t="str">
        <f t="shared" si="21"/>
        <v>00</v>
      </c>
      <c r="J144" s="4" t="str">
        <f t="shared" si="22"/>
        <v>00</v>
      </c>
      <c r="K144" s="14" t="e">
        <f t="shared" si="26"/>
        <v>#N/A</v>
      </c>
      <c r="L144" s="17" t="e">
        <f t="shared" si="23"/>
        <v>#N/A</v>
      </c>
      <c r="M144" s="20" t="str">
        <f t="shared" si="24"/>
        <v/>
      </c>
      <c r="N144" s="21" t="str">
        <f t="shared" si="25"/>
        <v/>
      </c>
      <c r="O144" s="24"/>
      <c r="P144" s="24"/>
      <c r="T144" s="2" t="s">
        <v>141</v>
      </c>
      <c r="U144" s="82"/>
      <c r="V144" s="93">
        <f t="shared" si="27"/>
        <v>0</v>
      </c>
      <c r="W144" s="47" t="str">
        <f t="shared" si="28"/>
        <v>0</v>
      </c>
      <c r="X144" s="59">
        <f t="shared" si="29"/>
        <v>0</v>
      </c>
    </row>
    <row r="145" spans="1:24" x14ac:dyDescent="0.25">
      <c r="A145" s="22">
        <v>143</v>
      </c>
      <c r="B145" s="18"/>
      <c r="C145" s="19"/>
      <c r="D145" s="19"/>
      <c r="E145" s="87"/>
      <c r="F145" s="24"/>
      <c r="G145" s="4"/>
      <c r="H145" s="4" t="e">
        <f t="shared" si="20"/>
        <v>#N/A</v>
      </c>
      <c r="I145" s="4" t="str">
        <f t="shared" si="21"/>
        <v>00</v>
      </c>
      <c r="J145" s="4" t="str">
        <f t="shared" si="22"/>
        <v>00</v>
      </c>
      <c r="K145" s="14" t="e">
        <f t="shared" si="26"/>
        <v>#N/A</v>
      </c>
      <c r="L145" s="17" t="e">
        <f t="shared" si="23"/>
        <v>#N/A</v>
      </c>
      <c r="M145" s="20" t="str">
        <f t="shared" si="24"/>
        <v/>
      </c>
      <c r="N145" s="21" t="str">
        <f t="shared" si="25"/>
        <v/>
      </c>
      <c r="O145" s="24"/>
      <c r="P145" s="24"/>
      <c r="T145" s="2" t="s">
        <v>141</v>
      </c>
      <c r="U145" s="82"/>
      <c r="V145" s="93">
        <f t="shared" si="27"/>
        <v>0</v>
      </c>
      <c r="W145" s="47" t="str">
        <f t="shared" si="28"/>
        <v>0</v>
      </c>
      <c r="X145" s="59">
        <f t="shared" si="29"/>
        <v>0</v>
      </c>
    </row>
    <row r="146" spans="1:24" x14ac:dyDescent="0.25">
      <c r="A146" s="22">
        <v>144</v>
      </c>
      <c r="B146" s="18"/>
      <c r="C146" s="19"/>
      <c r="D146" s="19"/>
      <c r="E146" s="87"/>
      <c r="F146" s="24"/>
      <c r="G146" s="4"/>
      <c r="H146" s="4" t="e">
        <f t="shared" si="20"/>
        <v>#N/A</v>
      </c>
      <c r="I146" s="4" t="str">
        <f t="shared" si="21"/>
        <v>00</v>
      </c>
      <c r="J146" s="4" t="str">
        <f t="shared" si="22"/>
        <v>00</v>
      </c>
      <c r="K146" s="14" t="e">
        <f t="shared" si="26"/>
        <v>#N/A</v>
      </c>
      <c r="L146" s="17" t="e">
        <f t="shared" si="23"/>
        <v>#N/A</v>
      </c>
      <c r="M146" s="20" t="str">
        <f t="shared" si="24"/>
        <v/>
      </c>
      <c r="N146" s="21" t="str">
        <f t="shared" si="25"/>
        <v/>
      </c>
      <c r="O146" s="24"/>
      <c r="P146" s="24"/>
      <c r="T146" s="2" t="s">
        <v>141</v>
      </c>
      <c r="U146" s="82"/>
      <c r="V146" s="93">
        <f t="shared" si="27"/>
        <v>0</v>
      </c>
      <c r="W146" s="47" t="str">
        <f t="shared" si="28"/>
        <v>0</v>
      </c>
      <c r="X146" s="59">
        <f t="shared" si="29"/>
        <v>0</v>
      </c>
    </row>
    <row r="147" spans="1:24" x14ac:dyDescent="0.25">
      <c r="A147" s="22">
        <v>145</v>
      </c>
      <c r="B147" s="18"/>
      <c r="C147" s="19"/>
      <c r="D147" s="19"/>
      <c r="E147" s="87"/>
      <c r="F147" s="24"/>
      <c r="G147" s="4"/>
      <c r="H147" s="4" t="e">
        <f t="shared" si="20"/>
        <v>#N/A</v>
      </c>
      <c r="I147" s="4" t="str">
        <f t="shared" si="21"/>
        <v>00</v>
      </c>
      <c r="J147" s="4" t="str">
        <f t="shared" si="22"/>
        <v>00</v>
      </c>
      <c r="K147" s="14" t="e">
        <f t="shared" si="26"/>
        <v>#N/A</v>
      </c>
      <c r="L147" s="17" t="e">
        <f t="shared" si="23"/>
        <v>#N/A</v>
      </c>
      <c r="M147" s="20" t="str">
        <f t="shared" si="24"/>
        <v/>
      </c>
      <c r="N147" s="21" t="str">
        <f t="shared" si="25"/>
        <v/>
      </c>
      <c r="O147" s="24"/>
      <c r="P147" s="24"/>
      <c r="T147" s="2" t="s">
        <v>141</v>
      </c>
      <c r="U147" s="82"/>
      <c r="V147" s="93">
        <f t="shared" si="27"/>
        <v>0</v>
      </c>
      <c r="W147" s="47" t="str">
        <f t="shared" si="28"/>
        <v>0</v>
      </c>
      <c r="X147" s="59">
        <f t="shared" si="29"/>
        <v>0</v>
      </c>
    </row>
    <row r="148" spans="1:24" x14ac:dyDescent="0.25">
      <c r="A148" s="22">
        <v>146</v>
      </c>
      <c r="B148" s="18"/>
      <c r="C148" s="19"/>
      <c r="D148" s="19"/>
      <c r="E148" s="87"/>
      <c r="F148" s="24"/>
      <c r="G148" s="4"/>
      <c r="H148" s="4" t="e">
        <f t="shared" si="20"/>
        <v>#N/A</v>
      </c>
      <c r="I148" s="4" t="str">
        <f t="shared" si="21"/>
        <v>00</v>
      </c>
      <c r="J148" s="4" t="str">
        <f t="shared" si="22"/>
        <v>00</v>
      </c>
      <c r="K148" s="14" t="e">
        <f t="shared" si="26"/>
        <v>#N/A</v>
      </c>
      <c r="L148" s="17" t="e">
        <f t="shared" si="23"/>
        <v>#N/A</v>
      </c>
      <c r="M148" s="20" t="str">
        <f t="shared" si="24"/>
        <v/>
      </c>
      <c r="N148" s="21" t="str">
        <f t="shared" si="25"/>
        <v/>
      </c>
      <c r="O148" s="24"/>
      <c r="P148" s="24"/>
      <c r="T148" s="2" t="s">
        <v>141</v>
      </c>
      <c r="U148" s="82"/>
      <c r="V148" s="93">
        <f t="shared" si="27"/>
        <v>0</v>
      </c>
      <c r="W148" s="47" t="str">
        <f t="shared" si="28"/>
        <v>0</v>
      </c>
      <c r="X148" s="59">
        <f t="shared" si="29"/>
        <v>0</v>
      </c>
    </row>
    <row r="149" spans="1:24" x14ac:dyDescent="0.25">
      <c r="A149" s="22">
        <v>147</v>
      </c>
      <c r="B149" s="18"/>
      <c r="C149" s="19"/>
      <c r="D149" s="19"/>
      <c r="E149" s="87"/>
      <c r="F149" s="24"/>
      <c r="G149" s="4"/>
      <c r="H149" s="4" t="e">
        <f t="shared" si="20"/>
        <v>#N/A</v>
      </c>
      <c r="I149" s="4" t="str">
        <f t="shared" si="21"/>
        <v>00</v>
      </c>
      <c r="J149" s="4" t="str">
        <f t="shared" si="22"/>
        <v>00</v>
      </c>
      <c r="K149" s="14" t="e">
        <f t="shared" si="26"/>
        <v>#N/A</v>
      </c>
      <c r="L149" s="17" t="e">
        <f t="shared" si="23"/>
        <v>#N/A</v>
      </c>
      <c r="M149" s="20" t="str">
        <f t="shared" si="24"/>
        <v/>
      </c>
      <c r="N149" s="21" t="str">
        <f t="shared" si="25"/>
        <v/>
      </c>
      <c r="O149" s="24"/>
      <c r="P149" s="24"/>
      <c r="T149" s="2" t="s">
        <v>141</v>
      </c>
      <c r="U149" s="82"/>
      <c r="V149" s="93">
        <f t="shared" si="27"/>
        <v>0</v>
      </c>
      <c r="W149" s="47" t="str">
        <f t="shared" si="28"/>
        <v>0</v>
      </c>
      <c r="X149" s="59">
        <f t="shared" si="29"/>
        <v>0</v>
      </c>
    </row>
    <row r="150" spans="1:24" x14ac:dyDescent="0.25">
      <c r="A150" s="22">
        <v>148</v>
      </c>
      <c r="B150" s="18"/>
      <c r="C150" s="19"/>
      <c r="D150" s="19"/>
      <c r="E150" s="87"/>
      <c r="F150" s="24"/>
      <c r="G150" s="4"/>
      <c r="H150" s="4" t="e">
        <f t="shared" si="20"/>
        <v>#N/A</v>
      </c>
      <c r="I150" s="4" t="str">
        <f t="shared" si="21"/>
        <v>00</v>
      </c>
      <c r="J150" s="4" t="str">
        <f t="shared" si="22"/>
        <v>00</v>
      </c>
      <c r="K150" s="14" t="e">
        <f t="shared" si="26"/>
        <v>#N/A</v>
      </c>
      <c r="L150" s="17" t="e">
        <f t="shared" si="23"/>
        <v>#N/A</v>
      </c>
      <c r="M150" s="20" t="str">
        <f t="shared" si="24"/>
        <v/>
      </c>
      <c r="N150" s="21" t="str">
        <f t="shared" si="25"/>
        <v/>
      </c>
      <c r="O150" s="24"/>
      <c r="P150" s="24"/>
      <c r="T150" s="2" t="s">
        <v>141</v>
      </c>
      <c r="U150" s="82"/>
      <c r="V150" s="93">
        <f t="shared" si="27"/>
        <v>0</v>
      </c>
      <c r="W150" s="47" t="str">
        <f t="shared" si="28"/>
        <v>0</v>
      </c>
      <c r="X150" s="59">
        <f t="shared" si="29"/>
        <v>0</v>
      </c>
    </row>
    <row r="151" spans="1:24" x14ac:dyDescent="0.25">
      <c r="A151" s="22">
        <v>149</v>
      </c>
      <c r="B151" s="18"/>
      <c r="C151" s="19"/>
      <c r="D151" s="19"/>
      <c r="E151" s="87"/>
      <c r="F151" s="24"/>
      <c r="G151" s="4"/>
      <c r="H151" s="4" t="e">
        <f t="shared" si="20"/>
        <v>#N/A</v>
      </c>
      <c r="I151" s="4" t="str">
        <f t="shared" si="21"/>
        <v>00</v>
      </c>
      <c r="J151" s="4" t="str">
        <f t="shared" si="22"/>
        <v>00</v>
      </c>
      <c r="K151" s="14" t="e">
        <f t="shared" si="26"/>
        <v>#N/A</v>
      </c>
      <c r="L151" s="17" t="e">
        <f t="shared" si="23"/>
        <v>#N/A</v>
      </c>
      <c r="M151" s="20" t="str">
        <f t="shared" si="24"/>
        <v/>
      </c>
      <c r="N151" s="21" t="str">
        <f t="shared" si="25"/>
        <v/>
      </c>
      <c r="O151" s="24"/>
      <c r="P151" s="24"/>
      <c r="T151" s="2" t="s">
        <v>141</v>
      </c>
      <c r="U151" s="82"/>
      <c r="V151" s="93">
        <f t="shared" si="27"/>
        <v>0</v>
      </c>
      <c r="W151" s="47" t="str">
        <f t="shared" si="28"/>
        <v>0</v>
      </c>
      <c r="X151" s="59">
        <f t="shared" si="29"/>
        <v>0</v>
      </c>
    </row>
    <row r="152" spans="1:24" x14ac:dyDescent="0.25">
      <c r="A152" s="22">
        <v>150</v>
      </c>
      <c r="B152" s="18"/>
      <c r="C152" s="19"/>
      <c r="D152" s="19"/>
      <c r="E152" s="87"/>
      <c r="F152" s="24"/>
      <c r="G152" s="4"/>
      <c r="H152" s="4" t="e">
        <f t="shared" si="20"/>
        <v>#N/A</v>
      </c>
      <c r="I152" s="4" t="str">
        <f t="shared" si="21"/>
        <v>00</v>
      </c>
      <c r="J152" s="4" t="str">
        <f t="shared" si="22"/>
        <v>00</v>
      </c>
      <c r="K152" s="14" t="e">
        <f t="shared" si="26"/>
        <v>#N/A</v>
      </c>
      <c r="L152" s="17" t="e">
        <f t="shared" si="23"/>
        <v>#N/A</v>
      </c>
      <c r="M152" s="20" t="str">
        <f t="shared" si="24"/>
        <v/>
      </c>
      <c r="N152" s="21" t="str">
        <f t="shared" si="25"/>
        <v/>
      </c>
      <c r="O152" s="24"/>
      <c r="P152" s="24"/>
      <c r="T152" s="2" t="s">
        <v>141</v>
      </c>
      <c r="U152" s="82"/>
      <c r="V152" s="93">
        <f t="shared" si="27"/>
        <v>0</v>
      </c>
      <c r="W152" s="47" t="str">
        <f t="shared" si="28"/>
        <v>0</v>
      </c>
      <c r="X152" s="59">
        <f t="shared" si="29"/>
        <v>0</v>
      </c>
    </row>
    <row r="153" spans="1:24" x14ac:dyDescent="0.25">
      <c r="A153" s="22">
        <v>151</v>
      </c>
      <c r="B153" s="18"/>
      <c r="C153" s="19"/>
      <c r="D153" s="19"/>
      <c r="E153" s="87"/>
      <c r="F153" s="24"/>
      <c r="G153" s="4"/>
      <c r="H153" s="4" t="e">
        <f t="shared" si="20"/>
        <v>#N/A</v>
      </c>
      <c r="I153" s="4" t="str">
        <f t="shared" si="21"/>
        <v>00</v>
      </c>
      <c r="J153" s="4" t="str">
        <f t="shared" si="22"/>
        <v>00</v>
      </c>
      <c r="K153" s="14" t="e">
        <f t="shared" si="26"/>
        <v>#N/A</v>
      </c>
      <c r="L153" s="17" t="e">
        <f t="shared" si="23"/>
        <v>#N/A</v>
      </c>
      <c r="M153" s="20" t="str">
        <f t="shared" si="24"/>
        <v/>
      </c>
      <c r="N153" s="21" t="str">
        <f t="shared" si="25"/>
        <v/>
      </c>
      <c r="O153" s="24"/>
      <c r="P153" s="24"/>
      <c r="T153" s="2" t="s">
        <v>141</v>
      </c>
      <c r="U153" s="82"/>
      <c r="V153" s="93">
        <f t="shared" si="27"/>
        <v>0</v>
      </c>
      <c r="W153" s="47" t="str">
        <f t="shared" si="28"/>
        <v>0</v>
      </c>
      <c r="X153" s="59">
        <f t="shared" si="29"/>
        <v>0</v>
      </c>
    </row>
    <row r="154" spans="1:24" x14ac:dyDescent="0.25">
      <c r="A154" s="22">
        <v>152</v>
      </c>
      <c r="B154" s="18"/>
      <c r="C154" s="19"/>
      <c r="D154" s="19"/>
      <c r="E154" s="87"/>
      <c r="F154" s="24"/>
      <c r="G154" s="4"/>
      <c r="H154" s="4" t="e">
        <f t="shared" si="20"/>
        <v>#N/A</v>
      </c>
      <c r="I154" s="4" t="str">
        <f t="shared" si="21"/>
        <v>00</v>
      </c>
      <c r="J154" s="4" t="str">
        <f t="shared" si="22"/>
        <v>00</v>
      </c>
      <c r="K154" s="14" t="e">
        <f t="shared" si="26"/>
        <v>#N/A</v>
      </c>
      <c r="L154" s="17" t="e">
        <f t="shared" si="23"/>
        <v>#N/A</v>
      </c>
      <c r="M154" s="20" t="str">
        <f t="shared" si="24"/>
        <v/>
      </c>
      <c r="N154" s="21" t="str">
        <f t="shared" si="25"/>
        <v/>
      </c>
      <c r="O154" s="24"/>
      <c r="P154" s="24"/>
      <c r="T154" s="2" t="s">
        <v>141</v>
      </c>
      <c r="U154" s="82"/>
      <c r="V154" s="93">
        <f t="shared" si="27"/>
        <v>0</v>
      </c>
      <c r="W154" s="47" t="str">
        <f t="shared" si="28"/>
        <v>0</v>
      </c>
      <c r="X154" s="59">
        <f t="shared" si="29"/>
        <v>0</v>
      </c>
    </row>
    <row r="155" spans="1:24" x14ac:dyDescent="0.25">
      <c r="A155" s="22">
        <v>153</v>
      </c>
      <c r="B155" s="18"/>
      <c r="C155" s="19"/>
      <c r="D155" s="19"/>
      <c r="E155" s="87"/>
      <c r="F155" s="24"/>
      <c r="G155" s="4"/>
      <c r="H155" s="4" t="e">
        <f t="shared" si="20"/>
        <v>#N/A</v>
      </c>
      <c r="I155" s="4" t="str">
        <f t="shared" si="21"/>
        <v>00</v>
      </c>
      <c r="J155" s="4" t="str">
        <f t="shared" si="22"/>
        <v>00</v>
      </c>
      <c r="K155" s="14" t="e">
        <f t="shared" si="26"/>
        <v>#N/A</v>
      </c>
      <c r="L155" s="17" t="e">
        <f t="shared" si="23"/>
        <v>#N/A</v>
      </c>
      <c r="M155" s="20" t="str">
        <f t="shared" si="24"/>
        <v/>
      </c>
      <c r="N155" s="21" t="str">
        <f t="shared" si="25"/>
        <v/>
      </c>
      <c r="O155" s="24"/>
      <c r="P155" s="24"/>
      <c r="T155" s="2" t="s">
        <v>141</v>
      </c>
      <c r="U155" s="82"/>
      <c r="V155" s="93">
        <f t="shared" si="27"/>
        <v>0</v>
      </c>
      <c r="W155" s="47" t="str">
        <f t="shared" si="28"/>
        <v>0</v>
      </c>
      <c r="X155" s="59">
        <f t="shared" si="29"/>
        <v>0</v>
      </c>
    </row>
    <row r="156" spans="1:24" x14ac:dyDescent="0.25">
      <c r="A156" s="22">
        <v>154</v>
      </c>
      <c r="B156" s="18"/>
      <c r="C156" s="19"/>
      <c r="D156" s="19"/>
      <c r="E156" s="87"/>
      <c r="F156" s="24"/>
      <c r="G156" s="4"/>
      <c r="H156" s="4" t="e">
        <f t="shared" si="20"/>
        <v>#N/A</v>
      </c>
      <c r="I156" s="4" t="str">
        <f t="shared" si="21"/>
        <v>00</v>
      </c>
      <c r="J156" s="4" t="str">
        <f t="shared" si="22"/>
        <v>00</v>
      </c>
      <c r="K156" s="14" t="e">
        <f t="shared" si="26"/>
        <v>#N/A</v>
      </c>
      <c r="L156" s="17" t="e">
        <f t="shared" si="23"/>
        <v>#N/A</v>
      </c>
      <c r="M156" s="20" t="str">
        <f t="shared" si="24"/>
        <v/>
      </c>
      <c r="N156" s="21" t="str">
        <f t="shared" si="25"/>
        <v/>
      </c>
      <c r="O156" s="24"/>
      <c r="P156" s="24"/>
      <c r="T156" s="2" t="s">
        <v>141</v>
      </c>
      <c r="U156" s="82"/>
      <c r="V156" s="93">
        <f t="shared" si="27"/>
        <v>0</v>
      </c>
      <c r="W156" s="47" t="str">
        <f t="shared" si="28"/>
        <v>0</v>
      </c>
      <c r="X156" s="59">
        <f t="shared" si="29"/>
        <v>0</v>
      </c>
    </row>
    <row r="157" spans="1:24" x14ac:dyDescent="0.25">
      <c r="A157" s="22">
        <v>155</v>
      </c>
      <c r="B157" s="18"/>
      <c r="C157" s="19"/>
      <c r="D157" s="19"/>
      <c r="E157" s="87"/>
      <c r="F157" s="24"/>
      <c r="G157" s="4"/>
      <c r="H157" s="4" t="e">
        <f t="shared" si="20"/>
        <v>#N/A</v>
      </c>
      <c r="I157" s="4" t="str">
        <f t="shared" si="21"/>
        <v>00</v>
      </c>
      <c r="J157" s="4" t="str">
        <f t="shared" si="22"/>
        <v>00</v>
      </c>
      <c r="K157" s="14" t="e">
        <f t="shared" si="26"/>
        <v>#N/A</v>
      </c>
      <c r="L157" s="17" t="e">
        <f t="shared" si="23"/>
        <v>#N/A</v>
      </c>
      <c r="M157" s="20" t="str">
        <f t="shared" si="24"/>
        <v/>
      </c>
      <c r="N157" s="21" t="str">
        <f t="shared" si="25"/>
        <v/>
      </c>
      <c r="O157" s="24"/>
      <c r="P157" s="24"/>
      <c r="T157" s="2" t="s">
        <v>141</v>
      </c>
      <c r="U157" s="82"/>
      <c r="V157" s="93">
        <f t="shared" si="27"/>
        <v>0</v>
      </c>
      <c r="W157" s="47" t="str">
        <f t="shared" si="28"/>
        <v>0</v>
      </c>
      <c r="X157" s="59">
        <f t="shared" si="29"/>
        <v>0</v>
      </c>
    </row>
    <row r="158" spans="1:24" x14ac:dyDescent="0.25">
      <c r="A158" s="22">
        <v>156</v>
      </c>
      <c r="B158" s="18"/>
      <c r="C158" s="19"/>
      <c r="D158" s="19"/>
      <c r="E158" s="87"/>
      <c r="F158" s="24"/>
      <c r="G158" s="4"/>
      <c r="H158" s="4" t="e">
        <f t="shared" si="20"/>
        <v>#N/A</v>
      </c>
      <c r="I158" s="4" t="str">
        <f t="shared" si="21"/>
        <v>00</v>
      </c>
      <c r="J158" s="4" t="str">
        <f t="shared" si="22"/>
        <v>00</v>
      </c>
      <c r="K158" s="14" t="e">
        <f t="shared" si="26"/>
        <v>#N/A</v>
      </c>
      <c r="L158" s="17" t="e">
        <f t="shared" si="23"/>
        <v>#N/A</v>
      </c>
      <c r="M158" s="20" t="str">
        <f t="shared" si="24"/>
        <v/>
      </c>
      <c r="N158" s="21" t="str">
        <f t="shared" si="25"/>
        <v/>
      </c>
      <c r="O158" s="24"/>
      <c r="P158" s="24"/>
      <c r="T158" s="2" t="s">
        <v>141</v>
      </c>
      <c r="U158" s="82"/>
      <c r="V158" s="93">
        <f t="shared" si="27"/>
        <v>0</v>
      </c>
      <c r="W158" s="47" t="str">
        <f t="shared" si="28"/>
        <v>0</v>
      </c>
      <c r="X158" s="59">
        <f t="shared" si="29"/>
        <v>0</v>
      </c>
    </row>
    <row r="159" spans="1:24" x14ac:dyDescent="0.25">
      <c r="A159" s="22">
        <v>157</v>
      </c>
      <c r="B159" s="18"/>
      <c r="C159" s="19"/>
      <c r="D159" s="19"/>
      <c r="E159" s="87"/>
      <c r="F159" s="24"/>
      <c r="G159" s="4"/>
      <c r="H159" s="4" t="e">
        <f t="shared" si="20"/>
        <v>#N/A</v>
      </c>
      <c r="I159" s="4" t="str">
        <f t="shared" si="21"/>
        <v>00</v>
      </c>
      <c r="J159" s="4" t="str">
        <f t="shared" si="22"/>
        <v>00</v>
      </c>
      <c r="K159" s="14" t="e">
        <f t="shared" si="26"/>
        <v>#N/A</v>
      </c>
      <c r="L159" s="17" t="e">
        <f t="shared" si="23"/>
        <v>#N/A</v>
      </c>
      <c r="M159" s="20" t="str">
        <f t="shared" si="24"/>
        <v/>
      </c>
      <c r="N159" s="21" t="str">
        <f t="shared" si="25"/>
        <v/>
      </c>
      <c r="O159" s="24"/>
      <c r="P159" s="24"/>
      <c r="T159" s="2" t="s">
        <v>141</v>
      </c>
      <c r="U159" s="82"/>
      <c r="V159" s="93">
        <f t="shared" si="27"/>
        <v>0</v>
      </c>
      <c r="W159" s="47" t="str">
        <f t="shared" si="28"/>
        <v>0</v>
      </c>
      <c r="X159" s="59">
        <f t="shared" si="29"/>
        <v>0</v>
      </c>
    </row>
    <row r="160" spans="1:24" x14ac:dyDescent="0.25">
      <c r="A160" s="22">
        <v>158</v>
      </c>
      <c r="B160" s="18"/>
      <c r="C160" s="19"/>
      <c r="D160" s="19"/>
      <c r="E160" s="87"/>
      <c r="F160" s="24"/>
      <c r="G160" s="4"/>
      <c r="H160" s="4" t="e">
        <f t="shared" si="20"/>
        <v>#N/A</v>
      </c>
      <c r="I160" s="4" t="str">
        <f t="shared" si="21"/>
        <v>00</v>
      </c>
      <c r="J160" s="4" t="str">
        <f t="shared" si="22"/>
        <v>00</v>
      </c>
      <c r="K160" s="14" t="e">
        <f t="shared" si="26"/>
        <v>#N/A</v>
      </c>
      <c r="L160" s="17" t="e">
        <f t="shared" si="23"/>
        <v>#N/A</v>
      </c>
      <c r="M160" s="20" t="str">
        <f t="shared" si="24"/>
        <v/>
      </c>
      <c r="N160" s="21" t="str">
        <f t="shared" si="25"/>
        <v/>
      </c>
      <c r="O160" s="24"/>
      <c r="P160" s="24"/>
      <c r="T160" s="2" t="s">
        <v>141</v>
      </c>
      <c r="U160" s="82"/>
      <c r="V160" s="93">
        <f t="shared" si="27"/>
        <v>0</v>
      </c>
      <c r="W160" s="47" t="str">
        <f t="shared" si="28"/>
        <v>0</v>
      </c>
      <c r="X160" s="59">
        <f t="shared" si="29"/>
        <v>0</v>
      </c>
    </row>
    <row r="161" spans="1:24" x14ac:dyDescent="0.25">
      <c r="A161" s="22">
        <v>159</v>
      </c>
      <c r="B161" s="18"/>
      <c r="C161" s="19"/>
      <c r="D161" s="19"/>
      <c r="E161" s="87"/>
      <c r="F161" s="24"/>
      <c r="G161" s="4"/>
      <c r="H161" s="4" t="e">
        <f t="shared" si="20"/>
        <v>#N/A</v>
      </c>
      <c r="I161" s="4" t="str">
        <f t="shared" si="21"/>
        <v>00</v>
      </c>
      <c r="J161" s="4" t="str">
        <f t="shared" si="22"/>
        <v>00</v>
      </c>
      <c r="K161" s="14" t="e">
        <f t="shared" si="26"/>
        <v>#N/A</v>
      </c>
      <c r="L161" s="17" t="e">
        <f t="shared" si="23"/>
        <v>#N/A</v>
      </c>
      <c r="M161" s="20" t="str">
        <f t="shared" si="24"/>
        <v/>
      </c>
      <c r="N161" s="21" t="str">
        <f t="shared" si="25"/>
        <v/>
      </c>
      <c r="O161" s="24"/>
      <c r="P161" s="24"/>
      <c r="T161" s="2" t="s">
        <v>141</v>
      </c>
      <c r="U161" s="82"/>
      <c r="V161" s="93">
        <f t="shared" si="27"/>
        <v>0</v>
      </c>
      <c r="W161" s="47" t="str">
        <f t="shared" si="28"/>
        <v>0</v>
      </c>
      <c r="X161" s="59">
        <f t="shared" si="29"/>
        <v>0</v>
      </c>
    </row>
    <row r="162" spans="1:24" x14ac:dyDescent="0.25">
      <c r="A162" s="22">
        <v>160</v>
      </c>
      <c r="B162" s="18"/>
      <c r="C162" s="19"/>
      <c r="D162" s="19"/>
      <c r="E162" s="87"/>
      <c r="F162" s="24"/>
      <c r="G162" s="4"/>
      <c r="H162" s="4" t="e">
        <f t="shared" si="20"/>
        <v>#N/A</v>
      </c>
      <c r="I162" s="4" t="str">
        <f t="shared" si="21"/>
        <v>00</v>
      </c>
      <c r="J162" s="4" t="str">
        <f t="shared" si="22"/>
        <v>00</v>
      </c>
      <c r="K162" s="14" t="e">
        <f t="shared" si="26"/>
        <v>#N/A</v>
      </c>
      <c r="L162" s="17" t="e">
        <f t="shared" si="23"/>
        <v>#N/A</v>
      </c>
      <c r="M162" s="20" t="str">
        <f t="shared" si="24"/>
        <v/>
      </c>
      <c r="N162" s="21" t="str">
        <f t="shared" si="25"/>
        <v/>
      </c>
      <c r="O162" s="24"/>
      <c r="P162" s="24"/>
      <c r="T162" s="2" t="s">
        <v>141</v>
      </c>
      <c r="U162" s="82"/>
      <c r="V162" s="93">
        <f t="shared" si="27"/>
        <v>0</v>
      </c>
      <c r="W162" s="47" t="str">
        <f t="shared" si="28"/>
        <v>0</v>
      </c>
      <c r="X162" s="59">
        <f t="shared" si="29"/>
        <v>0</v>
      </c>
    </row>
    <row r="163" spans="1:24" x14ac:dyDescent="0.25">
      <c r="A163" s="22">
        <v>161</v>
      </c>
      <c r="B163" s="18"/>
      <c r="C163" s="19"/>
      <c r="D163" s="19"/>
      <c r="E163" s="87"/>
      <c r="F163" s="24"/>
      <c r="G163" s="4"/>
      <c r="H163" s="4" t="e">
        <f t="shared" si="20"/>
        <v>#N/A</v>
      </c>
      <c r="I163" s="4" t="str">
        <f t="shared" si="21"/>
        <v>00</v>
      </c>
      <c r="J163" s="4" t="str">
        <f t="shared" si="22"/>
        <v>00</v>
      </c>
      <c r="K163" s="14" t="e">
        <f t="shared" si="26"/>
        <v>#N/A</v>
      </c>
      <c r="L163" s="17" t="e">
        <f t="shared" si="23"/>
        <v>#N/A</v>
      </c>
      <c r="M163" s="20" t="str">
        <f t="shared" si="24"/>
        <v/>
      </c>
      <c r="N163" s="21" t="str">
        <f t="shared" si="25"/>
        <v/>
      </c>
      <c r="O163" s="24"/>
      <c r="P163" s="24"/>
      <c r="T163" s="2" t="s">
        <v>141</v>
      </c>
      <c r="U163" s="82"/>
      <c r="V163" s="93">
        <f t="shared" si="27"/>
        <v>0</v>
      </c>
      <c r="W163" s="47" t="str">
        <f t="shared" si="28"/>
        <v>0</v>
      </c>
      <c r="X163" s="59">
        <f t="shared" si="29"/>
        <v>0</v>
      </c>
    </row>
    <row r="164" spans="1:24" x14ac:dyDescent="0.25">
      <c r="A164" s="22">
        <v>162</v>
      </c>
      <c r="B164" s="18"/>
      <c r="C164" s="19"/>
      <c r="D164" s="19"/>
      <c r="E164" s="87"/>
      <c r="F164" s="24"/>
      <c r="G164" s="4"/>
      <c r="H164" s="4" t="e">
        <f t="shared" si="20"/>
        <v>#N/A</v>
      </c>
      <c r="I164" s="4" t="str">
        <f t="shared" si="21"/>
        <v>00</v>
      </c>
      <c r="J164" s="4" t="str">
        <f t="shared" si="22"/>
        <v>00</v>
      </c>
      <c r="K164" s="14" t="e">
        <f t="shared" si="26"/>
        <v>#N/A</v>
      </c>
      <c r="L164" s="17" t="e">
        <f t="shared" si="23"/>
        <v>#N/A</v>
      </c>
      <c r="M164" s="20" t="str">
        <f t="shared" si="24"/>
        <v/>
      </c>
      <c r="N164" s="21" t="str">
        <f t="shared" si="25"/>
        <v/>
      </c>
      <c r="O164" s="24"/>
      <c r="P164" s="24"/>
      <c r="T164" s="2" t="s">
        <v>141</v>
      </c>
      <c r="U164" s="82"/>
      <c r="V164" s="93">
        <f t="shared" si="27"/>
        <v>0</v>
      </c>
      <c r="W164" s="47" t="str">
        <f t="shared" si="28"/>
        <v>0</v>
      </c>
      <c r="X164" s="59">
        <f t="shared" si="29"/>
        <v>0</v>
      </c>
    </row>
    <row r="165" spans="1:24" x14ac:dyDescent="0.25">
      <c r="A165" s="22">
        <v>163</v>
      </c>
      <c r="B165" s="18"/>
      <c r="C165" s="19"/>
      <c r="D165" s="19"/>
      <c r="E165" s="87"/>
      <c r="F165" s="24"/>
      <c r="G165" s="4"/>
      <c r="H165" s="4" t="e">
        <f t="shared" si="20"/>
        <v>#N/A</v>
      </c>
      <c r="I165" s="4" t="str">
        <f t="shared" si="21"/>
        <v>00</v>
      </c>
      <c r="J165" s="4" t="str">
        <f t="shared" si="22"/>
        <v>00</v>
      </c>
      <c r="K165" s="14" t="e">
        <f t="shared" si="26"/>
        <v>#N/A</v>
      </c>
      <c r="L165" s="17" t="e">
        <f t="shared" si="23"/>
        <v>#N/A</v>
      </c>
      <c r="M165" s="20" t="str">
        <f t="shared" si="24"/>
        <v/>
      </c>
      <c r="N165" s="21" t="str">
        <f t="shared" si="25"/>
        <v/>
      </c>
      <c r="O165" s="24"/>
      <c r="P165" s="24"/>
      <c r="T165" s="2" t="s">
        <v>141</v>
      </c>
      <c r="U165" s="82"/>
      <c r="V165" s="93">
        <f t="shared" si="27"/>
        <v>0</v>
      </c>
      <c r="W165" s="47" t="str">
        <f t="shared" si="28"/>
        <v>0</v>
      </c>
      <c r="X165" s="59">
        <f t="shared" si="29"/>
        <v>0</v>
      </c>
    </row>
    <row r="166" spans="1:24" x14ac:dyDescent="0.25">
      <c r="A166" s="22">
        <v>164</v>
      </c>
      <c r="B166" s="18"/>
      <c r="C166" s="19"/>
      <c r="D166" s="19"/>
      <c r="E166" s="87"/>
      <c r="F166" s="24"/>
      <c r="G166" s="4"/>
      <c r="H166" s="4" t="e">
        <f t="shared" si="20"/>
        <v>#N/A</v>
      </c>
      <c r="I166" s="4" t="str">
        <f t="shared" si="21"/>
        <v>00</v>
      </c>
      <c r="J166" s="4" t="str">
        <f t="shared" si="22"/>
        <v>00</v>
      </c>
      <c r="K166" s="14" t="e">
        <f t="shared" si="26"/>
        <v>#N/A</v>
      </c>
      <c r="L166" s="17" t="e">
        <f t="shared" si="23"/>
        <v>#N/A</v>
      </c>
      <c r="M166" s="20" t="str">
        <f t="shared" si="24"/>
        <v/>
      </c>
      <c r="N166" s="21" t="str">
        <f t="shared" si="25"/>
        <v/>
      </c>
      <c r="O166" s="24"/>
      <c r="P166" s="24"/>
      <c r="T166" s="2" t="s">
        <v>141</v>
      </c>
      <c r="U166" s="82"/>
      <c r="V166" s="93">
        <f t="shared" si="27"/>
        <v>0</v>
      </c>
      <c r="W166" s="47" t="str">
        <f t="shared" si="28"/>
        <v>0</v>
      </c>
      <c r="X166" s="59">
        <f t="shared" si="29"/>
        <v>0</v>
      </c>
    </row>
    <row r="167" spans="1:24" x14ac:dyDescent="0.25">
      <c r="A167" s="22">
        <v>165</v>
      </c>
      <c r="B167" s="18"/>
      <c r="C167" s="19"/>
      <c r="D167" s="19"/>
      <c r="E167" s="87"/>
      <c r="F167" s="24"/>
      <c r="G167" s="4"/>
      <c r="H167" s="4" t="e">
        <f t="shared" si="20"/>
        <v>#N/A</v>
      </c>
      <c r="I167" s="4" t="str">
        <f t="shared" si="21"/>
        <v>00</v>
      </c>
      <c r="J167" s="4" t="str">
        <f t="shared" si="22"/>
        <v>00</v>
      </c>
      <c r="K167" s="14" t="e">
        <f t="shared" si="26"/>
        <v>#N/A</v>
      </c>
      <c r="L167" s="17" t="e">
        <f t="shared" si="23"/>
        <v>#N/A</v>
      </c>
      <c r="M167" s="20" t="str">
        <f t="shared" si="24"/>
        <v/>
      </c>
      <c r="N167" s="21" t="str">
        <f t="shared" si="25"/>
        <v/>
      </c>
      <c r="O167" s="24"/>
      <c r="P167" s="24"/>
      <c r="T167" s="2" t="s">
        <v>141</v>
      </c>
      <c r="U167" s="82"/>
      <c r="V167" s="93">
        <f t="shared" si="27"/>
        <v>0</v>
      </c>
      <c r="W167" s="47" t="str">
        <f t="shared" si="28"/>
        <v>0</v>
      </c>
      <c r="X167" s="59">
        <f t="shared" si="29"/>
        <v>0</v>
      </c>
    </row>
    <row r="168" spans="1:24" x14ac:dyDescent="0.25">
      <c r="A168" s="22">
        <v>166</v>
      </c>
      <c r="B168" s="18"/>
      <c r="C168" s="19"/>
      <c r="D168" s="19"/>
      <c r="E168" s="87"/>
      <c r="F168" s="24"/>
      <c r="G168" s="4"/>
      <c r="H168" s="4" t="e">
        <f t="shared" si="20"/>
        <v>#N/A</v>
      </c>
      <c r="I168" s="4" t="str">
        <f t="shared" si="21"/>
        <v>00</v>
      </c>
      <c r="J168" s="4" t="str">
        <f t="shared" si="22"/>
        <v>00</v>
      </c>
      <c r="K168" s="14" t="e">
        <f t="shared" si="26"/>
        <v>#N/A</v>
      </c>
      <c r="L168" s="17" t="e">
        <f t="shared" si="23"/>
        <v>#N/A</v>
      </c>
      <c r="M168" s="20" t="str">
        <f t="shared" si="24"/>
        <v/>
      </c>
      <c r="N168" s="21" t="str">
        <f t="shared" si="25"/>
        <v/>
      </c>
      <c r="O168" s="24"/>
      <c r="P168" s="24"/>
      <c r="T168" s="2" t="s">
        <v>141</v>
      </c>
      <c r="U168" s="82"/>
      <c r="V168" s="93">
        <f t="shared" si="27"/>
        <v>0</v>
      </c>
      <c r="W168" s="47" t="str">
        <f t="shared" si="28"/>
        <v>0</v>
      </c>
      <c r="X168" s="59">
        <f t="shared" si="29"/>
        <v>0</v>
      </c>
    </row>
    <row r="169" spans="1:24" x14ac:dyDescent="0.25">
      <c r="A169" s="22">
        <v>167</v>
      </c>
      <c r="B169" s="18"/>
      <c r="C169" s="19"/>
      <c r="D169" s="19"/>
      <c r="E169" s="87"/>
      <c r="F169" s="24"/>
      <c r="G169" s="4"/>
      <c r="H169" s="4" t="e">
        <f t="shared" si="20"/>
        <v>#N/A</v>
      </c>
      <c r="I169" s="4" t="str">
        <f t="shared" si="21"/>
        <v>00</v>
      </c>
      <c r="J169" s="4" t="str">
        <f t="shared" si="22"/>
        <v>00</v>
      </c>
      <c r="K169" s="14" t="e">
        <f t="shared" si="26"/>
        <v>#N/A</v>
      </c>
      <c r="L169" s="17" t="e">
        <f t="shared" si="23"/>
        <v>#N/A</v>
      </c>
      <c r="M169" s="20" t="str">
        <f t="shared" si="24"/>
        <v/>
      </c>
      <c r="N169" s="21" t="str">
        <f t="shared" si="25"/>
        <v/>
      </c>
      <c r="O169" s="24"/>
      <c r="P169" s="24"/>
      <c r="T169" s="2" t="s">
        <v>141</v>
      </c>
      <c r="U169" s="82"/>
      <c r="V169" s="93">
        <f t="shared" si="27"/>
        <v>0</v>
      </c>
      <c r="W169" s="47" t="str">
        <f t="shared" si="28"/>
        <v>0</v>
      </c>
      <c r="X169" s="59">
        <f t="shared" si="29"/>
        <v>0</v>
      </c>
    </row>
    <row r="170" spans="1:24" x14ac:dyDescent="0.25">
      <c r="A170" s="22">
        <v>168</v>
      </c>
      <c r="B170" s="18"/>
      <c r="C170" s="19"/>
      <c r="D170" s="19"/>
      <c r="E170" s="87"/>
      <c r="F170" s="24"/>
      <c r="G170" s="4"/>
      <c r="H170" s="4" t="e">
        <f t="shared" si="20"/>
        <v>#N/A</v>
      </c>
      <c r="I170" s="4" t="str">
        <f t="shared" si="21"/>
        <v>00</v>
      </c>
      <c r="J170" s="4" t="str">
        <f t="shared" si="22"/>
        <v>00</v>
      </c>
      <c r="K170" s="14" t="e">
        <f t="shared" si="26"/>
        <v>#N/A</v>
      </c>
      <c r="L170" s="17" t="e">
        <f t="shared" si="23"/>
        <v>#N/A</v>
      </c>
      <c r="M170" s="20" t="str">
        <f t="shared" si="24"/>
        <v/>
      </c>
      <c r="N170" s="21" t="str">
        <f t="shared" si="25"/>
        <v/>
      </c>
      <c r="O170" s="24"/>
      <c r="P170" s="24"/>
      <c r="T170" s="2" t="s">
        <v>141</v>
      </c>
      <c r="U170" s="82"/>
      <c r="V170" s="93">
        <f t="shared" si="27"/>
        <v>0</v>
      </c>
      <c r="W170" s="47" t="str">
        <f t="shared" si="28"/>
        <v>0</v>
      </c>
      <c r="X170" s="59">
        <f t="shared" si="29"/>
        <v>0</v>
      </c>
    </row>
    <row r="171" spans="1:24" x14ac:dyDescent="0.25">
      <c r="A171" s="22">
        <v>169</v>
      </c>
      <c r="B171" s="18"/>
      <c r="C171" s="19"/>
      <c r="D171" s="19"/>
      <c r="E171" s="87"/>
      <c r="F171" s="24"/>
      <c r="G171" s="4"/>
      <c r="H171" s="4" t="e">
        <f t="shared" si="20"/>
        <v>#N/A</v>
      </c>
      <c r="I171" s="4" t="str">
        <f t="shared" si="21"/>
        <v>00</v>
      </c>
      <c r="J171" s="4" t="str">
        <f t="shared" si="22"/>
        <v>00</v>
      </c>
      <c r="K171" s="14" t="e">
        <f t="shared" si="26"/>
        <v>#N/A</v>
      </c>
      <c r="L171" s="17" t="e">
        <f t="shared" si="23"/>
        <v>#N/A</v>
      </c>
      <c r="M171" s="20" t="str">
        <f t="shared" si="24"/>
        <v/>
      </c>
      <c r="N171" s="21" t="str">
        <f t="shared" si="25"/>
        <v/>
      </c>
      <c r="O171" s="24"/>
      <c r="P171" s="24"/>
      <c r="T171" s="2" t="s">
        <v>141</v>
      </c>
      <c r="U171" s="82"/>
      <c r="V171" s="93">
        <f t="shared" si="27"/>
        <v>0</v>
      </c>
      <c r="W171" s="47" t="str">
        <f t="shared" si="28"/>
        <v>0</v>
      </c>
      <c r="X171" s="59">
        <f t="shared" si="29"/>
        <v>0</v>
      </c>
    </row>
    <row r="172" spans="1:24" x14ac:dyDescent="0.25">
      <c r="A172" s="22">
        <v>170</v>
      </c>
      <c r="B172" s="18"/>
      <c r="C172" s="19"/>
      <c r="D172" s="19"/>
      <c r="E172" s="87"/>
      <c r="F172" s="24"/>
      <c r="G172" s="4"/>
      <c r="H172" s="4" t="e">
        <f t="shared" si="20"/>
        <v>#N/A</v>
      </c>
      <c r="I172" s="4" t="str">
        <f t="shared" si="21"/>
        <v>00</v>
      </c>
      <c r="J172" s="4" t="str">
        <f t="shared" si="22"/>
        <v>00</v>
      </c>
      <c r="K172" s="14" t="e">
        <f t="shared" si="26"/>
        <v>#N/A</v>
      </c>
      <c r="L172" s="17" t="e">
        <f t="shared" si="23"/>
        <v>#N/A</v>
      </c>
      <c r="M172" s="20" t="str">
        <f t="shared" si="24"/>
        <v/>
      </c>
      <c r="N172" s="21" t="str">
        <f t="shared" si="25"/>
        <v/>
      </c>
      <c r="O172" s="24"/>
      <c r="P172" s="24"/>
      <c r="T172" s="2" t="s">
        <v>141</v>
      </c>
      <c r="U172" s="82"/>
      <c r="V172" s="93">
        <f t="shared" si="27"/>
        <v>0</v>
      </c>
      <c r="W172" s="47" t="str">
        <f t="shared" si="28"/>
        <v>0</v>
      </c>
      <c r="X172" s="59">
        <f t="shared" si="29"/>
        <v>0</v>
      </c>
    </row>
    <row r="173" spans="1:24" x14ac:dyDescent="0.25">
      <c r="A173" s="22">
        <v>171</v>
      </c>
      <c r="B173" s="18"/>
      <c r="C173" s="19"/>
      <c r="D173" s="19"/>
      <c r="E173" s="87"/>
      <c r="F173" s="24"/>
      <c r="G173" s="4"/>
      <c r="H173" s="4" t="e">
        <f t="shared" si="20"/>
        <v>#N/A</v>
      </c>
      <c r="I173" s="4" t="str">
        <f t="shared" si="21"/>
        <v>00</v>
      </c>
      <c r="J173" s="4" t="str">
        <f t="shared" si="22"/>
        <v>00</v>
      </c>
      <c r="K173" s="14" t="e">
        <f t="shared" si="26"/>
        <v>#N/A</v>
      </c>
      <c r="L173" s="17" t="e">
        <f t="shared" si="23"/>
        <v>#N/A</v>
      </c>
      <c r="M173" s="20" t="str">
        <f t="shared" si="24"/>
        <v/>
      </c>
      <c r="N173" s="21" t="str">
        <f t="shared" si="25"/>
        <v/>
      </c>
      <c r="O173" s="24"/>
      <c r="P173" s="24"/>
      <c r="T173" s="2" t="s">
        <v>141</v>
      </c>
      <c r="U173" s="82"/>
      <c r="V173" s="93">
        <f t="shared" si="27"/>
        <v>0</v>
      </c>
      <c r="W173" s="47" t="str">
        <f t="shared" si="28"/>
        <v>0</v>
      </c>
      <c r="X173" s="59">
        <f t="shared" si="29"/>
        <v>0</v>
      </c>
    </row>
    <row r="174" spans="1:24" x14ac:dyDescent="0.25">
      <c r="A174" s="22">
        <v>172</v>
      </c>
      <c r="B174" s="18"/>
      <c r="C174" s="19"/>
      <c r="D174" s="19"/>
      <c r="E174" s="87"/>
      <c r="F174" s="24"/>
      <c r="G174" s="4"/>
      <c r="H174" s="4" t="e">
        <f t="shared" si="20"/>
        <v>#N/A</v>
      </c>
      <c r="I174" s="4" t="str">
        <f t="shared" si="21"/>
        <v>00</v>
      </c>
      <c r="J174" s="4" t="str">
        <f t="shared" si="22"/>
        <v>00</v>
      </c>
      <c r="K174" s="14" t="e">
        <f t="shared" si="26"/>
        <v>#N/A</v>
      </c>
      <c r="L174" s="17" t="e">
        <f t="shared" si="23"/>
        <v>#N/A</v>
      </c>
      <c r="M174" s="20" t="str">
        <f t="shared" si="24"/>
        <v/>
      </c>
      <c r="N174" s="21" t="str">
        <f t="shared" si="25"/>
        <v/>
      </c>
      <c r="O174" s="24"/>
      <c r="P174" s="24"/>
      <c r="T174" s="2" t="s">
        <v>141</v>
      </c>
      <c r="U174" s="82"/>
      <c r="V174" s="93">
        <f t="shared" si="27"/>
        <v>0</v>
      </c>
      <c r="W174" s="47" t="str">
        <f t="shared" si="28"/>
        <v>0</v>
      </c>
      <c r="X174" s="59">
        <f t="shared" si="29"/>
        <v>0</v>
      </c>
    </row>
    <row r="175" spans="1:24" x14ac:dyDescent="0.25">
      <c r="A175" s="22">
        <v>173</v>
      </c>
      <c r="B175" s="18"/>
      <c r="C175" s="19"/>
      <c r="D175" s="19"/>
      <c r="E175" s="87"/>
      <c r="F175" s="24"/>
      <c r="G175" s="4"/>
      <c r="H175" s="4" t="e">
        <f t="shared" si="20"/>
        <v>#N/A</v>
      </c>
      <c r="I175" s="4" t="str">
        <f t="shared" si="21"/>
        <v>00</v>
      </c>
      <c r="J175" s="4" t="str">
        <f t="shared" si="22"/>
        <v>00</v>
      </c>
      <c r="K175" s="14" t="e">
        <f t="shared" si="26"/>
        <v>#N/A</v>
      </c>
      <c r="L175" s="17" t="e">
        <f t="shared" si="23"/>
        <v>#N/A</v>
      </c>
      <c r="M175" s="20" t="str">
        <f t="shared" si="24"/>
        <v/>
      </c>
      <c r="N175" s="21" t="str">
        <f t="shared" si="25"/>
        <v/>
      </c>
      <c r="O175" s="24"/>
      <c r="P175" s="24"/>
      <c r="T175" s="2" t="s">
        <v>141</v>
      </c>
      <c r="U175" s="82"/>
      <c r="V175" s="93">
        <f t="shared" si="27"/>
        <v>0</v>
      </c>
      <c r="W175" s="47" t="str">
        <f t="shared" si="28"/>
        <v>0</v>
      </c>
      <c r="X175" s="59">
        <f t="shared" si="29"/>
        <v>0</v>
      </c>
    </row>
    <row r="176" spans="1:24" x14ac:dyDescent="0.25">
      <c r="A176" s="22">
        <v>174</v>
      </c>
      <c r="B176" s="18"/>
      <c r="C176" s="19"/>
      <c r="D176" s="19"/>
      <c r="E176" s="87"/>
      <c r="F176" s="24"/>
      <c r="G176" s="4"/>
      <c r="H176" s="4" t="e">
        <f t="shared" si="20"/>
        <v>#N/A</v>
      </c>
      <c r="I176" s="4" t="str">
        <f t="shared" si="21"/>
        <v>00</v>
      </c>
      <c r="J176" s="4" t="str">
        <f t="shared" si="22"/>
        <v>00</v>
      </c>
      <c r="K176" s="14" t="e">
        <f t="shared" si="26"/>
        <v>#N/A</v>
      </c>
      <c r="L176" s="17" t="e">
        <f t="shared" si="23"/>
        <v>#N/A</v>
      </c>
      <c r="M176" s="20" t="str">
        <f t="shared" si="24"/>
        <v/>
      </c>
      <c r="N176" s="21" t="str">
        <f t="shared" si="25"/>
        <v/>
      </c>
      <c r="O176" s="24"/>
      <c r="P176" s="24"/>
      <c r="T176" s="2" t="s">
        <v>141</v>
      </c>
      <c r="U176" s="82"/>
      <c r="V176" s="93">
        <f t="shared" si="27"/>
        <v>0</v>
      </c>
      <c r="W176" s="47" t="str">
        <f t="shared" si="28"/>
        <v>0</v>
      </c>
      <c r="X176" s="59">
        <f t="shared" si="29"/>
        <v>0</v>
      </c>
    </row>
    <row r="177" spans="1:24" x14ac:dyDescent="0.25">
      <c r="A177" s="22">
        <v>175</v>
      </c>
      <c r="B177" s="18"/>
      <c r="C177" s="19"/>
      <c r="D177" s="19"/>
      <c r="E177" s="87"/>
      <c r="F177" s="24"/>
      <c r="G177" s="4"/>
      <c r="H177" s="4" t="e">
        <f t="shared" si="20"/>
        <v>#N/A</v>
      </c>
      <c r="I177" s="4" t="str">
        <f t="shared" si="21"/>
        <v>00</v>
      </c>
      <c r="J177" s="4" t="str">
        <f t="shared" si="22"/>
        <v>00</v>
      </c>
      <c r="K177" s="14" t="e">
        <f t="shared" si="26"/>
        <v>#N/A</v>
      </c>
      <c r="L177" s="17" t="e">
        <f t="shared" si="23"/>
        <v>#N/A</v>
      </c>
      <c r="M177" s="20" t="str">
        <f t="shared" si="24"/>
        <v/>
      </c>
      <c r="N177" s="21" t="str">
        <f t="shared" si="25"/>
        <v/>
      </c>
      <c r="O177" s="24"/>
      <c r="P177" s="24"/>
      <c r="T177" s="2" t="s">
        <v>141</v>
      </c>
      <c r="U177" s="82"/>
      <c r="V177" s="93">
        <f t="shared" si="27"/>
        <v>0</v>
      </c>
      <c r="W177" s="47" t="str">
        <f t="shared" si="28"/>
        <v>0</v>
      </c>
      <c r="X177" s="59">
        <f t="shared" si="29"/>
        <v>0</v>
      </c>
    </row>
    <row r="178" spans="1:24" x14ac:dyDescent="0.25">
      <c r="A178" s="22">
        <v>176</v>
      </c>
      <c r="B178" s="18"/>
      <c r="C178" s="19"/>
      <c r="D178" s="19"/>
      <c r="E178" s="87"/>
      <c r="F178" s="24"/>
      <c r="G178" s="4"/>
      <c r="H178" s="4" t="e">
        <f t="shared" si="20"/>
        <v>#N/A</v>
      </c>
      <c r="I178" s="4" t="str">
        <f t="shared" si="21"/>
        <v>00</v>
      </c>
      <c r="J178" s="4" t="str">
        <f t="shared" si="22"/>
        <v>00</v>
      </c>
      <c r="K178" s="14" t="e">
        <f t="shared" si="26"/>
        <v>#N/A</v>
      </c>
      <c r="L178" s="17" t="e">
        <f t="shared" si="23"/>
        <v>#N/A</v>
      </c>
      <c r="M178" s="20" t="str">
        <f t="shared" si="24"/>
        <v/>
      </c>
      <c r="N178" s="21" t="str">
        <f t="shared" si="25"/>
        <v/>
      </c>
      <c r="O178" s="24"/>
      <c r="P178" s="24"/>
      <c r="T178" s="2" t="s">
        <v>141</v>
      </c>
      <c r="U178" s="82"/>
      <c r="V178" s="93">
        <f t="shared" si="27"/>
        <v>0</v>
      </c>
      <c r="W178" s="47" t="str">
        <f t="shared" si="28"/>
        <v>0</v>
      </c>
      <c r="X178" s="59">
        <f t="shared" si="29"/>
        <v>0</v>
      </c>
    </row>
    <row r="179" spans="1:24" x14ac:dyDescent="0.25">
      <c r="A179" s="22">
        <v>177</v>
      </c>
      <c r="B179" s="18"/>
      <c r="C179" s="19"/>
      <c r="D179" s="19"/>
      <c r="E179" s="87"/>
      <c r="F179" s="24"/>
      <c r="G179" s="4"/>
      <c r="H179" s="4" t="e">
        <f t="shared" si="20"/>
        <v>#N/A</v>
      </c>
      <c r="I179" s="4" t="str">
        <f t="shared" si="21"/>
        <v>00</v>
      </c>
      <c r="J179" s="4" t="str">
        <f t="shared" si="22"/>
        <v>00</v>
      </c>
      <c r="K179" s="14" t="e">
        <f t="shared" si="26"/>
        <v>#N/A</v>
      </c>
      <c r="L179" s="17" t="e">
        <f t="shared" si="23"/>
        <v>#N/A</v>
      </c>
      <c r="M179" s="20" t="str">
        <f t="shared" si="24"/>
        <v/>
      </c>
      <c r="N179" s="21" t="str">
        <f t="shared" si="25"/>
        <v/>
      </c>
      <c r="O179" s="24"/>
      <c r="P179" s="24"/>
      <c r="T179" s="2" t="s">
        <v>141</v>
      </c>
      <c r="U179" s="82"/>
      <c r="V179" s="93">
        <f t="shared" si="27"/>
        <v>0</v>
      </c>
      <c r="W179" s="47" t="str">
        <f t="shared" si="28"/>
        <v>0</v>
      </c>
      <c r="X179" s="59">
        <f t="shared" si="29"/>
        <v>0</v>
      </c>
    </row>
    <row r="180" spans="1:24" x14ac:dyDescent="0.25">
      <c r="A180" s="22">
        <v>178</v>
      </c>
      <c r="B180" s="18"/>
      <c r="C180" s="19"/>
      <c r="D180" s="19"/>
      <c r="E180" s="87"/>
      <c r="F180" s="24"/>
      <c r="G180" s="4"/>
      <c r="H180" s="4" t="e">
        <f t="shared" si="20"/>
        <v>#N/A</v>
      </c>
      <c r="I180" s="4" t="str">
        <f t="shared" si="21"/>
        <v>00</v>
      </c>
      <c r="J180" s="4" t="str">
        <f t="shared" si="22"/>
        <v>00</v>
      </c>
      <c r="K180" s="14" t="e">
        <f t="shared" si="26"/>
        <v>#N/A</v>
      </c>
      <c r="L180" s="17" t="e">
        <f t="shared" si="23"/>
        <v>#N/A</v>
      </c>
      <c r="M180" s="20" t="str">
        <f t="shared" si="24"/>
        <v/>
      </c>
      <c r="N180" s="21" t="str">
        <f t="shared" si="25"/>
        <v/>
      </c>
      <c r="O180" s="24"/>
      <c r="P180" s="24"/>
      <c r="T180" s="2" t="s">
        <v>141</v>
      </c>
      <c r="U180" s="82"/>
      <c r="V180" s="93">
        <f t="shared" si="27"/>
        <v>0</v>
      </c>
      <c r="W180" s="47" t="str">
        <f t="shared" si="28"/>
        <v>0</v>
      </c>
      <c r="X180" s="59">
        <f t="shared" si="29"/>
        <v>0</v>
      </c>
    </row>
    <row r="181" spans="1:24" x14ac:dyDescent="0.25">
      <c r="A181" s="22">
        <v>179</v>
      </c>
      <c r="B181" s="18"/>
      <c r="C181" s="19"/>
      <c r="D181" s="19"/>
      <c r="E181" s="87"/>
      <c r="F181" s="24"/>
      <c r="G181" s="4"/>
      <c r="H181" s="4" t="e">
        <f t="shared" si="20"/>
        <v>#N/A</v>
      </c>
      <c r="I181" s="4" t="str">
        <f t="shared" si="21"/>
        <v>00</v>
      </c>
      <c r="J181" s="4" t="str">
        <f t="shared" si="22"/>
        <v>00</v>
      </c>
      <c r="K181" s="14" t="e">
        <f t="shared" si="26"/>
        <v>#N/A</v>
      </c>
      <c r="L181" s="17" t="e">
        <f t="shared" si="23"/>
        <v>#N/A</v>
      </c>
      <c r="M181" s="20" t="str">
        <f t="shared" si="24"/>
        <v/>
      </c>
      <c r="N181" s="21" t="str">
        <f t="shared" si="25"/>
        <v/>
      </c>
      <c r="O181" s="24"/>
      <c r="P181" s="24"/>
      <c r="T181" s="2" t="s">
        <v>141</v>
      </c>
      <c r="U181" s="82"/>
      <c r="V181" s="93">
        <f t="shared" si="27"/>
        <v>0</v>
      </c>
      <c r="W181" s="47" t="str">
        <f t="shared" si="28"/>
        <v>0</v>
      </c>
      <c r="X181" s="59">
        <f t="shared" si="29"/>
        <v>0</v>
      </c>
    </row>
    <row r="182" spans="1:24" x14ac:dyDescent="0.25">
      <c r="A182" s="22">
        <v>180</v>
      </c>
      <c r="B182" s="18"/>
      <c r="C182" s="19"/>
      <c r="D182" s="19"/>
      <c r="E182" s="87"/>
      <c r="F182" s="24"/>
      <c r="G182" s="4"/>
      <c r="H182" s="4" t="e">
        <f t="shared" si="20"/>
        <v>#N/A</v>
      </c>
      <c r="I182" s="4" t="str">
        <f t="shared" si="21"/>
        <v>00</v>
      </c>
      <c r="J182" s="4" t="str">
        <f t="shared" si="22"/>
        <v>00</v>
      </c>
      <c r="K182" s="14" t="e">
        <f t="shared" si="26"/>
        <v>#N/A</v>
      </c>
      <c r="L182" s="17" t="e">
        <f t="shared" si="23"/>
        <v>#N/A</v>
      </c>
      <c r="M182" s="20" t="str">
        <f t="shared" si="24"/>
        <v/>
      </c>
      <c r="N182" s="21" t="str">
        <f t="shared" si="25"/>
        <v/>
      </c>
      <c r="O182" s="24"/>
      <c r="P182" s="24"/>
      <c r="T182" s="2" t="s">
        <v>141</v>
      </c>
      <c r="U182" s="82"/>
      <c r="V182" s="93">
        <f t="shared" si="27"/>
        <v>0</v>
      </c>
      <c r="W182" s="47" t="str">
        <f t="shared" si="28"/>
        <v>0</v>
      </c>
      <c r="X182" s="59">
        <f t="shared" si="29"/>
        <v>0</v>
      </c>
    </row>
    <row r="183" spans="1:24" x14ac:dyDescent="0.25">
      <c r="A183" s="22">
        <v>181</v>
      </c>
      <c r="B183" s="18"/>
      <c r="C183" s="19"/>
      <c r="D183" s="19"/>
      <c r="E183" s="87"/>
      <c r="F183" s="24"/>
      <c r="G183" s="4"/>
      <c r="H183" s="4" t="e">
        <f t="shared" si="20"/>
        <v>#N/A</v>
      </c>
      <c r="I183" s="4" t="str">
        <f t="shared" si="21"/>
        <v>00</v>
      </c>
      <c r="J183" s="4" t="str">
        <f t="shared" si="22"/>
        <v>00</v>
      </c>
      <c r="K183" s="14" t="e">
        <f t="shared" si="26"/>
        <v>#N/A</v>
      </c>
      <c r="L183" s="17" t="e">
        <f t="shared" si="23"/>
        <v>#N/A</v>
      </c>
      <c r="M183" s="20" t="str">
        <f t="shared" si="24"/>
        <v/>
      </c>
      <c r="N183" s="21" t="str">
        <f t="shared" si="25"/>
        <v/>
      </c>
      <c r="O183" s="24"/>
      <c r="P183" s="24"/>
      <c r="T183" s="2" t="s">
        <v>141</v>
      </c>
      <c r="U183" s="82"/>
      <c r="V183" s="93">
        <f t="shared" si="27"/>
        <v>0</v>
      </c>
      <c r="W183" s="47" t="str">
        <f t="shared" si="28"/>
        <v>0</v>
      </c>
      <c r="X183" s="59">
        <f t="shared" si="29"/>
        <v>0</v>
      </c>
    </row>
    <row r="184" spans="1:24" x14ac:dyDescent="0.25">
      <c r="A184" s="22">
        <v>182</v>
      </c>
      <c r="B184" s="18"/>
      <c r="C184" s="19"/>
      <c r="D184" s="19"/>
      <c r="E184" s="87"/>
      <c r="F184" s="24"/>
      <c r="G184" s="4"/>
      <c r="H184" s="4" t="e">
        <f t="shared" si="20"/>
        <v>#N/A</v>
      </c>
      <c r="I184" s="4" t="str">
        <f t="shared" si="21"/>
        <v>00</v>
      </c>
      <c r="J184" s="4" t="str">
        <f t="shared" si="22"/>
        <v>00</v>
      </c>
      <c r="K184" s="14" t="e">
        <f t="shared" si="26"/>
        <v>#N/A</v>
      </c>
      <c r="L184" s="17" t="e">
        <f t="shared" si="23"/>
        <v>#N/A</v>
      </c>
      <c r="M184" s="20" t="str">
        <f t="shared" si="24"/>
        <v/>
      </c>
      <c r="N184" s="21" t="str">
        <f t="shared" si="25"/>
        <v/>
      </c>
      <c r="O184" s="24"/>
      <c r="P184" s="24"/>
      <c r="T184" s="2" t="s">
        <v>141</v>
      </c>
      <c r="U184" s="82"/>
      <c r="V184" s="93">
        <f t="shared" si="27"/>
        <v>0</v>
      </c>
      <c r="W184" s="47" t="str">
        <f t="shared" si="28"/>
        <v>0</v>
      </c>
      <c r="X184" s="59">
        <f t="shared" si="29"/>
        <v>0</v>
      </c>
    </row>
    <row r="185" spans="1:24" x14ac:dyDescent="0.25">
      <c r="A185" s="22">
        <v>183</v>
      </c>
      <c r="B185" s="18"/>
      <c r="C185" s="19"/>
      <c r="D185" s="19"/>
      <c r="E185" s="87"/>
      <c r="F185" s="24"/>
      <c r="G185" s="4"/>
      <c r="H185" s="4" t="e">
        <f t="shared" si="20"/>
        <v>#N/A</v>
      </c>
      <c r="I185" s="4" t="str">
        <f t="shared" si="21"/>
        <v>00</v>
      </c>
      <c r="J185" s="4" t="str">
        <f t="shared" si="22"/>
        <v>00</v>
      </c>
      <c r="K185" s="14" t="e">
        <f t="shared" si="26"/>
        <v>#N/A</v>
      </c>
      <c r="L185" s="17" t="e">
        <f t="shared" si="23"/>
        <v>#N/A</v>
      </c>
      <c r="M185" s="20" t="str">
        <f t="shared" si="24"/>
        <v/>
      </c>
      <c r="N185" s="21" t="str">
        <f t="shared" si="25"/>
        <v/>
      </c>
      <c r="O185" s="24"/>
      <c r="P185" s="24"/>
      <c r="T185" s="2" t="s">
        <v>141</v>
      </c>
      <c r="U185" s="82"/>
      <c r="V185" s="93">
        <f t="shared" si="27"/>
        <v>0</v>
      </c>
      <c r="W185" s="47" t="str">
        <f t="shared" si="28"/>
        <v>0</v>
      </c>
      <c r="X185" s="59">
        <f t="shared" si="29"/>
        <v>0</v>
      </c>
    </row>
    <row r="186" spans="1:24" x14ac:dyDescent="0.25">
      <c r="A186" s="22">
        <v>184</v>
      </c>
      <c r="B186" s="18"/>
      <c r="C186" s="19"/>
      <c r="D186" s="19"/>
      <c r="E186" s="87"/>
      <c r="F186" s="24"/>
      <c r="G186" s="4"/>
      <c r="H186" s="4" t="e">
        <f t="shared" si="20"/>
        <v>#N/A</v>
      </c>
      <c r="I186" s="4" t="str">
        <f t="shared" si="21"/>
        <v>00</v>
      </c>
      <c r="J186" s="4" t="str">
        <f t="shared" si="22"/>
        <v>00</v>
      </c>
      <c r="K186" s="14" t="e">
        <f t="shared" si="26"/>
        <v>#N/A</v>
      </c>
      <c r="L186" s="17" t="e">
        <f t="shared" si="23"/>
        <v>#N/A</v>
      </c>
      <c r="M186" s="20" t="str">
        <f t="shared" si="24"/>
        <v/>
      </c>
      <c r="N186" s="21" t="str">
        <f t="shared" si="25"/>
        <v/>
      </c>
      <c r="O186" s="24"/>
      <c r="P186" s="24"/>
      <c r="T186" s="2" t="s">
        <v>141</v>
      </c>
      <c r="U186" s="82"/>
      <c r="V186" s="93">
        <f t="shared" si="27"/>
        <v>0</v>
      </c>
      <c r="W186" s="47" t="str">
        <f t="shared" si="28"/>
        <v>0</v>
      </c>
      <c r="X186" s="59">
        <f t="shared" si="29"/>
        <v>0</v>
      </c>
    </row>
    <row r="187" spans="1:24" x14ac:dyDescent="0.25">
      <c r="A187" s="22">
        <v>185</v>
      </c>
      <c r="B187" s="18"/>
      <c r="C187" s="19"/>
      <c r="D187" s="19"/>
      <c r="E187" s="87"/>
      <c r="F187" s="24"/>
      <c r="G187" s="4"/>
      <c r="H187" s="4" t="e">
        <f t="shared" si="20"/>
        <v>#N/A</v>
      </c>
      <c r="I187" s="4" t="str">
        <f t="shared" si="21"/>
        <v>00</v>
      </c>
      <c r="J187" s="4" t="str">
        <f t="shared" si="22"/>
        <v>00</v>
      </c>
      <c r="K187" s="14" t="e">
        <f t="shared" si="26"/>
        <v>#N/A</v>
      </c>
      <c r="L187" s="17" t="e">
        <f t="shared" si="23"/>
        <v>#N/A</v>
      </c>
      <c r="M187" s="20" t="str">
        <f t="shared" si="24"/>
        <v/>
      </c>
      <c r="N187" s="21" t="str">
        <f t="shared" si="25"/>
        <v/>
      </c>
      <c r="O187" s="24"/>
      <c r="P187" s="24"/>
      <c r="T187" s="2" t="s">
        <v>141</v>
      </c>
      <c r="U187" s="82"/>
      <c r="V187" s="93">
        <f t="shared" si="27"/>
        <v>0</v>
      </c>
      <c r="W187" s="47" t="str">
        <f t="shared" si="28"/>
        <v>0</v>
      </c>
      <c r="X187" s="59">
        <f t="shared" si="29"/>
        <v>0</v>
      </c>
    </row>
    <row r="188" spans="1:24" x14ac:dyDescent="0.25">
      <c r="A188" s="22">
        <v>186</v>
      </c>
      <c r="B188" s="18"/>
      <c r="C188" s="19"/>
      <c r="D188" s="19"/>
      <c r="E188" s="87"/>
      <c r="F188" s="24"/>
      <c r="G188" s="4"/>
      <c r="H188" s="4" t="e">
        <f t="shared" si="20"/>
        <v>#N/A</v>
      </c>
      <c r="I188" s="4" t="str">
        <f t="shared" si="21"/>
        <v>00</v>
      </c>
      <c r="J188" s="4" t="str">
        <f t="shared" si="22"/>
        <v>00</v>
      </c>
      <c r="K188" s="14" t="e">
        <f t="shared" si="26"/>
        <v>#N/A</v>
      </c>
      <c r="L188" s="17" t="e">
        <f t="shared" si="23"/>
        <v>#N/A</v>
      </c>
      <c r="M188" s="20" t="str">
        <f t="shared" si="24"/>
        <v/>
      </c>
      <c r="N188" s="21" t="str">
        <f t="shared" si="25"/>
        <v/>
      </c>
      <c r="O188" s="24"/>
      <c r="P188" s="24"/>
      <c r="T188" s="2" t="s">
        <v>141</v>
      </c>
      <c r="U188" s="82"/>
      <c r="V188" s="93">
        <f t="shared" si="27"/>
        <v>0</v>
      </c>
      <c r="W188" s="47" t="str">
        <f t="shared" si="28"/>
        <v>0</v>
      </c>
      <c r="X188" s="59">
        <f t="shared" si="29"/>
        <v>0</v>
      </c>
    </row>
    <row r="189" spans="1:24" x14ac:dyDescent="0.25">
      <c r="A189" s="22">
        <v>187</v>
      </c>
      <c r="B189" s="18"/>
      <c r="C189" s="19"/>
      <c r="D189" s="19"/>
      <c r="E189" s="87"/>
      <c r="F189" s="24"/>
      <c r="G189" s="4"/>
      <c r="H189" s="4" t="e">
        <f t="shared" si="20"/>
        <v>#N/A</v>
      </c>
      <c r="I189" s="4" t="str">
        <f t="shared" si="21"/>
        <v>00</v>
      </c>
      <c r="J189" s="4" t="str">
        <f t="shared" si="22"/>
        <v>00</v>
      </c>
      <c r="K189" s="14" t="e">
        <f t="shared" si="26"/>
        <v>#N/A</v>
      </c>
      <c r="L189" s="17" t="e">
        <f t="shared" si="23"/>
        <v>#N/A</v>
      </c>
      <c r="M189" s="20" t="str">
        <f t="shared" si="24"/>
        <v/>
      </c>
      <c r="N189" s="21" t="str">
        <f t="shared" si="25"/>
        <v/>
      </c>
      <c r="O189" s="24"/>
      <c r="P189" s="24"/>
      <c r="T189" s="2" t="s">
        <v>141</v>
      </c>
      <c r="U189" s="82"/>
      <c r="V189" s="93">
        <f t="shared" si="27"/>
        <v>0</v>
      </c>
      <c r="W189" s="47" t="str">
        <f t="shared" si="28"/>
        <v>0</v>
      </c>
      <c r="X189" s="59">
        <f t="shared" si="29"/>
        <v>0</v>
      </c>
    </row>
    <row r="190" spans="1:24" x14ac:dyDescent="0.25">
      <c r="A190" s="22">
        <v>188</v>
      </c>
      <c r="B190" s="18"/>
      <c r="C190" s="19"/>
      <c r="D190" s="19"/>
      <c r="E190" s="87"/>
      <c r="F190" s="24"/>
      <c r="G190" s="4"/>
      <c r="H190" s="4" t="e">
        <f t="shared" si="20"/>
        <v>#N/A</v>
      </c>
      <c r="I190" s="4" t="str">
        <f t="shared" si="21"/>
        <v>00</v>
      </c>
      <c r="J190" s="4" t="str">
        <f t="shared" si="22"/>
        <v>00</v>
      </c>
      <c r="K190" s="14" t="e">
        <f t="shared" si="26"/>
        <v>#N/A</v>
      </c>
      <c r="L190" s="17" t="e">
        <f t="shared" si="23"/>
        <v>#N/A</v>
      </c>
      <c r="M190" s="20" t="str">
        <f t="shared" si="24"/>
        <v/>
      </c>
      <c r="N190" s="21" t="str">
        <f t="shared" si="25"/>
        <v/>
      </c>
      <c r="O190" s="24"/>
      <c r="P190" s="24"/>
      <c r="T190" s="2" t="s">
        <v>141</v>
      </c>
      <c r="U190" s="82"/>
      <c r="V190" s="93">
        <f t="shared" si="27"/>
        <v>0</v>
      </c>
      <c r="W190" s="47" t="str">
        <f t="shared" si="28"/>
        <v>0</v>
      </c>
      <c r="X190" s="59">
        <f t="shared" si="29"/>
        <v>0</v>
      </c>
    </row>
    <row r="191" spans="1:24" x14ac:dyDescent="0.25">
      <c r="A191" s="22">
        <v>189</v>
      </c>
      <c r="B191" s="18"/>
      <c r="C191" s="19"/>
      <c r="D191" s="19"/>
      <c r="E191" s="87"/>
      <c r="F191" s="24"/>
      <c r="G191" s="4"/>
      <c r="H191" s="4" t="e">
        <f t="shared" si="20"/>
        <v>#N/A</v>
      </c>
      <c r="I191" s="4" t="str">
        <f t="shared" si="21"/>
        <v>00</v>
      </c>
      <c r="J191" s="4" t="str">
        <f t="shared" si="22"/>
        <v>00</v>
      </c>
      <c r="K191" s="14" t="e">
        <f t="shared" si="26"/>
        <v>#N/A</v>
      </c>
      <c r="L191" s="17" t="e">
        <f t="shared" si="23"/>
        <v>#N/A</v>
      </c>
      <c r="M191" s="20" t="str">
        <f t="shared" si="24"/>
        <v/>
      </c>
      <c r="N191" s="21" t="str">
        <f t="shared" si="25"/>
        <v/>
      </c>
      <c r="O191" s="24"/>
      <c r="P191" s="24"/>
      <c r="T191" s="2" t="s">
        <v>141</v>
      </c>
      <c r="U191" s="82"/>
      <c r="V191" s="93">
        <f t="shared" si="27"/>
        <v>0</v>
      </c>
      <c r="W191" s="47" t="str">
        <f t="shared" si="28"/>
        <v>0</v>
      </c>
      <c r="X191" s="59">
        <f t="shared" si="29"/>
        <v>0</v>
      </c>
    </row>
    <row r="192" spans="1:24" x14ac:dyDescent="0.25">
      <c r="A192" s="22">
        <v>190</v>
      </c>
      <c r="B192" s="18"/>
      <c r="C192" s="19"/>
      <c r="D192" s="19"/>
      <c r="E192" s="87"/>
      <c r="F192" s="24"/>
      <c r="G192" s="4"/>
      <c r="H192" s="4" t="e">
        <f t="shared" si="20"/>
        <v>#N/A</v>
      </c>
      <c r="I192" s="4" t="str">
        <f t="shared" si="21"/>
        <v>00</v>
      </c>
      <c r="J192" s="4" t="str">
        <f t="shared" si="22"/>
        <v>00</v>
      </c>
      <c r="K192" s="14" t="e">
        <f t="shared" si="26"/>
        <v>#N/A</v>
      </c>
      <c r="L192" s="17" t="e">
        <f t="shared" si="23"/>
        <v>#N/A</v>
      </c>
      <c r="M192" s="20" t="str">
        <f t="shared" si="24"/>
        <v/>
      </c>
      <c r="N192" s="21" t="str">
        <f t="shared" si="25"/>
        <v/>
      </c>
      <c r="O192" s="24"/>
      <c r="P192" s="24"/>
      <c r="T192" s="2" t="s">
        <v>141</v>
      </c>
      <c r="U192" s="82"/>
      <c r="V192" s="93">
        <f t="shared" si="27"/>
        <v>0</v>
      </c>
      <c r="W192" s="47" t="str">
        <f t="shared" si="28"/>
        <v>0</v>
      </c>
      <c r="X192" s="59">
        <f t="shared" si="29"/>
        <v>0</v>
      </c>
    </row>
    <row r="193" spans="1:24" x14ac:dyDescent="0.25">
      <c r="A193" s="22">
        <v>191</v>
      </c>
      <c r="B193" s="18"/>
      <c r="C193" s="19"/>
      <c r="D193" s="19"/>
      <c r="E193" s="87"/>
      <c r="F193" s="24"/>
      <c r="G193" s="4"/>
      <c r="H193" s="4" t="e">
        <f t="shared" si="20"/>
        <v>#N/A</v>
      </c>
      <c r="I193" s="4" t="str">
        <f t="shared" si="21"/>
        <v>00</v>
      </c>
      <c r="J193" s="4" t="str">
        <f t="shared" si="22"/>
        <v>00</v>
      </c>
      <c r="K193" s="14" t="e">
        <f t="shared" si="26"/>
        <v>#N/A</v>
      </c>
      <c r="L193" s="17" t="e">
        <f t="shared" si="23"/>
        <v>#N/A</v>
      </c>
      <c r="M193" s="20" t="str">
        <f t="shared" si="24"/>
        <v/>
      </c>
      <c r="N193" s="21" t="str">
        <f t="shared" si="25"/>
        <v/>
      </c>
      <c r="O193" s="24"/>
      <c r="P193" s="24"/>
      <c r="T193" s="2" t="s">
        <v>141</v>
      </c>
      <c r="U193" s="82"/>
      <c r="V193" s="93">
        <f t="shared" si="27"/>
        <v>0</v>
      </c>
      <c r="W193" s="47" t="str">
        <f t="shared" si="28"/>
        <v>0</v>
      </c>
      <c r="X193" s="59">
        <f t="shared" si="29"/>
        <v>0</v>
      </c>
    </row>
    <row r="194" spans="1:24" x14ac:dyDescent="0.25">
      <c r="A194" s="22">
        <v>192</v>
      </c>
      <c r="B194" s="18"/>
      <c r="C194" s="19"/>
      <c r="D194" s="19"/>
      <c r="E194" s="87"/>
      <c r="F194" s="24"/>
      <c r="G194" s="4"/>
      <c r="H194" s="4" t="e">
        <f t="shared" si="20"/>
        <v>#N/A</v>
      </c>
      <c r="I194" s="4" t="str">
        <f t="shared" si="21"/>
        <v>00</v>
      </c>
      <c r="J194" s="4" t="str">
        <f t="shared" si="22"/>
        <v>00</v>
      </c>
      <c r="K194" s="14" t="e">
        <f t="shared" si="26"/>
        <v>#N/A</v>
      </c>
      <c r="L194" s="17" t="e">
        <f t="shared" si="23"/>
        <v>#N/A</v>
      </c>
      <c r="M194" s="20" t="str">
        <f t="shared" si="24"/>
        <v/>
      </c>
      <c r="N194" s="21" t="str">
        <f t="shared" si="25"/>
        <v/>
      </c>
      <c r="O194" s="24"/>
      <c r="P194" s="24"/>
      <c r="T194" s="2" t="s">
        <v>141</v>
      </c>
      <c r="U194" s="82"/>
      <c r="V194" s="93">
        <f t="shared" si="27"/>
        <v>0</v>
      </c>
      <c r="W194" s="47" t="str">
        <f t="shared" si="28"/>
        <v>0</v>
      </c>
      <c r="X194" s="59">
        <f t="shared" si="29"/>
        <v>0</v>
      </c>
    </row>
    <row r="195" spans="1:24" x14ac:dyDescent="0.25">
      <c r="A195" s="22">
        <v>193</v>
      </c>
      <c r="B195" s="18"/>
      <c r="C195" s="19"/>
      <c r="D195" s="19"/>
      <c r="E195" s="87"/>
      <c r="F195" s="24"/>
      <c r="G195" s="4"/>
      <c r="H195" s="4" t="e">
        <f t="shared" ref="H195:H258" si="30">VLOOKUP(B195,$F$2:$G$39,2,FALSE)</f>
        <v>#N/A</v>
      </c>
      <c r="I195" s="4" t="str">
        <f t="shared" ref="I195:I258" si="31">IF(ISERROR(VLOOKUP(C195,F:G,2,FALSE)),"00",(VLOOKUP(C195,F:G,2,FALSE)))</f>
        <v>00</v>
      </c>
      <c r="J195" s="4" t="str">
        <f t="shared" ref="J195:J258" si="32">IF(ISERROR(VLOOKUP(D195,F:G,2,FALSE)),"00",(VLOOKUP(D195,F:G,2,FALSE)))</f>
        <v>00</v>
      </c>
      <c r="K195" s="14" t="e">
        <f t="shared" si="26"/>
        <v>#N/A</v>
      </c>
      <c r="L195" s="17" t="e">
        <f t="shared" ref="L195:L258" si="33">IF(LEN(K195)&gt;8,H195,K195)</f>
        <v>#N/A</v>
      </c>
      <c r="M195" s="20" t="str">
        <f t="shared" ref="M195:M258" si="34">IF(ISERROR(VLOOKUP(L195,L:L,1,FALSE)),"",(VLOOKUP(L195,L:L,1,FALSE)))</f>
        <v/>
      </c>
      <c r="N195" s="21" t="str">
        <f t="shared" ref="N195:N258" si="35">IF(ISERROR(VLOOKUP(E195,E:E,1,FALSE)),"",(VLOOKUP(E195,E:E,1,FALSE)))</f>
        <v/>
      </c>
      <c r="O195" s="24"/>
      <c r="P195" s="24"/>
      <c r="T195" s="2" t="s">
        <v>141</v>
      </c>
      <c r="U195" s="82"/>
      <c r="V195" s="93">
        <f t="shared" si="27"/>
        <v>0</v>
      </c>
      <c r="W195" s="47" t="str">
        <f t="shared" si="28"/>
        <v>0</v>
      </c>
      <c r="X195" s="59">
        <f t="shared" si="29"/>
        <v>0</v>
      </c>
    </row>
    <row r="196" spans="1:24" x14ac:dyDescent="0.25">
      <c r="A196" s="22">
        <v>194</v>
      </c>
      <c r="B196" s="18"/>
      <c r="C196" s="19"/>
      <c r="D196" s="19"/>
      <c r="E196" s="87"/>
      <c r="F196" s="24"/>
      <c r="G196" s="4"/>
      <c r="H196" s="4" t="e">
        <f t="shared" si="30"/>
        <v>#N/A</v>
      </c>
      <c r="I196" s="4" t="str">
        <f t="shared" si="31"/>
        <v>00</v>
      </c>
      <c r="J196" s="4" t="str">
        <f t="shared" si="32"/>
        <v>00</v>
      </c>
      <c r="K196" s="14" t="e">
        <f t="shared" ref="K196:K258" si="36">CONCATENATE(H196,I196,J196)</f>
        <v>#N/A</v>
      </c>
      <c r="L196" s="17" t="e">
        <f t="shared" si="33"/>
        <v>#N/A</v>
      </c>
      <c r="M196" s="20" t="str">
        <f t="shared" si="34"/>
        <v/>
      </c>
      <c r="N196" s="21" t="str">
        <f t="shared" si="35"/>
        <v/>
      </c>
      <c r="O196" s="24"/>
      <c r="P196" s="24"/>
      <c r="T196" s="2" t="s">
        <v>141</v>
      </c>
      <c r="U196" s="82"/>
      <c r="V196" s="93">
        <f t="shared" ref="V196:V258" si="37">IF(ISERROR(VLOOKUP(U195,U:U,1,FALSE)),"",(VLOOKUP(U195,U:U,1,FALSE)))</f>
        <v>0</v>
      </c>
      <c r="W196" s="47" t="str">
        <f t="shared" ref="W196:W258" si="38">BIN2HEX(V196)</f>
        <v>0</v>
      </c>
      <c r="X196" s="59">
        <f t="shared" ref="X196:X258" si="39">BIN2DEC(V196)</f>
        <v>0</v>
      </c>
    </row>
    <row r="197" spans="1:24" x14ac:dyDescent="0.25">
      <c r="A197" s="22">
        <v>195</v>
      </c>
      <c r="B197" s="18"/>
      <c r="C197" s="19"/>
      <c r="D197" s="19"/>
      <c r="E197" s="87"/>
      <c r="F197" s="24"/>
      <c r="G197" s="4"/>
      <c r="H197" s="4" t="e">
        <f t="shared" si="30"/>
        <v>#N/A</v>
      </c>
      <c r="I197" s="4" t="str">
        <f t="shared" si="31"/>
        <v>00</v>
      </c>
      <c r="J197" s="4" t="str">
        <f t="shared" si="32"/>
        <v>00</v>
      </c>
      <c r="K197" s="14" t="e">
        <f t="shared" si="36"/>
        <v>#N/A</v>
      </c>
      <c r="L197" s="17" t="e">
        <f t="shared" si="33"/>
        <v>#N/A</v>
      </c>
      <c r="M197" s="20" t="str">
        <f t="shared" si="34"/>
        <v/>
      </c>
      <c r="N197" s="21" t="str">
        <f t="shared" si="35"/>
        <v/>
      </c>
      <c r="O197" s="24"/>
      <c r="P197" s="24"/>
      <c r="T197" s="2" t="s">
        <v>141</v>
      </c>
      <c r="U197" s="82"/>
      <c r="V197" s="93">
        <f t="shared" si="37"/>
        <v>0</v>
      </c>
      <c r="W197" s="47" t="str">
        <f t="shared" si="38"/>
        <v>0</v>
      </c>
      <c r="X197" s="59">
        <f t="shared" si="39"/>
        <v>0</v>
      </c>
    </row>
    <row r="198" spans="1:24" x14ac:dyDescent="0.25">
      <c r="A198" s="22">
        <v>196</v>
      </c>
      <c r="B198" s="18"/>
      <c r="C198" s="19"/>
      <c r="D198" s="19"/>
      <c r="E198" s="87"/>
      <c r="F198" s="24"/>
      <c r="G198" s="4"/>
      <c r="H198" s="4" t="e">
        <f t="shared" si="30"/>
        <v>#N/A</v>
      </c>
      <c r="I198" s="4" t="str">
        <f t="shared" si="31"/>
        <v>00</v>
      </c>
      <c r="J198" s="4" t="str">
        <f t="shared" si="32"/>
        <v>00</v>
      </c>
      <c r="K198" s="14" t="e">
        <f t="shared" si="36"/>
        <v>#N/A</v>
      </c>
      <c r="L198" s="17" t="e">
        <f t="shared" si="33"/>
        <v>#N/A</v>
      </c>
      <c r="M198" s="20" t="str">
        <f t="shared" si="34"/>
        <v/>
      </c>
      <c r="N198" s="21" t="str">
        <f t="shared" si="35"/>
        <v/>
      </c>
      <c r="O198" s="24"/>
      <c r="P198" s="24"/>
      <c r="T198" s="2" t="s">
        <v>141</v>
      </c>
      <c r="U198" s="82"/>
      <c r="V198" s="93">
        <f t="shared" si="37"/>
        <v>0</v>
      </c>
      <c r="W198" s="47" t="str">
        <f t="shared" si="38"/>
        <v>0</v>
      </c>
      <c r="X198" s="59">
        <f t="shared" si="39"/>
        <v>0</v>
      </c>
    </row>
    <row r="199" spans="1:24" x14ac:dyDescent="0.25">
      <c r="A199" s="22">
        <v>197</v>
      </c>
      <c r="B199" s="18"/>
      <c r="C199" s="19"/>
      <c r="D199" s="19"/>
      <c r="E199" s="87"/>
      <c r="F199" s="24"/>
      <c r="G199" s="4"/>
      <c r="H199" s="4" t="e">
        <f t="shared" si="30"/>
        <v>#N/A</v>
      </c>
      <c r="I199" s="4" t="str">
        <f t="shared" si="31"/>
        <v>00</v>
      </c>
      <c r="J199" s="4" t="str">
        <f t="shared" si="32"/>
        <v>00</v>
      </c>
      <c r="K199" s="14" t="e">
        <f t="shared" si="36"/>
        <v>#N/A</v>
      </c>
      <c r="L199" s="17" t="e">
        <f t="shared" si="33"/>
        <v>#N/A</v>
      </c>
      <c r="M199" s="20" t="str">
        <f t="shared" si="34"/>
        <v/>
      </c>
      <c r="N199" s="21" t="str">
        <f t="shared" si="35"/>
        <v/>
      </c>
      <c r="O199" s="24"/>
      <c r="P199" s="24"/>
      <c r="T199" s="2" t="s">
        <v>141</v>
      </c>
      <c r="U199" s="82"/>
      <c r="V199" s="93">
        <f t="shared" si="37"/>
        <v>0</v>
      </c>
      <c r="W199" s="47" t="str">
        <f t="shared" si="38"/>
        <v>0</v>
      </c>
      <c r="X199" s="59">
        <f t="shared" si="39"/>
        <v>0</v>
      </c>
    </row>
    <row r="200" spans="1:24" x14ac:dyDescent="0.25">
      <c r="A200" s="22">
        <v>198</v>
      </c>
      <c r="B200" s="18"/>
      <c r="C200" s="19"/>
      <c r="D200" s="19"/>
      <c r="E200" s="87"/>
      <c r="F200" s="24"/>
      <c r="G200" s="4"/>
      <c r="H200" s="4" t="e">
        <f t="shared" si="30"/>
        <v>#N/A</v>
      </c>
      <c r="I200" s="4" t="str">
        <f t="shared" si="31"/>
        <v>00</v>
      </c>
      <c r="J200" s="4" t="str">
        <f t="shared" si="32"/>
        <v>00</v>
      </c>
      <c r="K200" s="14" t="e">
        <f t="shared" si="36"/>
        <v>#N/A</v>
      </c>
      <c r="L200" s="17" t="e">
        <f t="shared" si="33"/>
        <v>#N/A</v>
      </c>
      <c r="M200" s="20" t="str">
        <f t="shared" si="34"/>
        <v/>
      </c>
      <c r="N200" s="21" t="str">
        <f t="shared" si="35"/>
        <v/>
      </c>
      <c r="O200" s="24"/>
      <c r="P200" s="24"/>
      <c r="T200" s="2" t="s">
        <v>141</v>
      </c>
      <c r="U200" s="82"/>
      <c r="V200" s="93">
        <f t="shared" si="37"/>
        <v>0</v>
      </c>
      <c r="W200" s="47" t="str">
        <f t="shared" si="38"/>
        <v>0</v>
      </c>
      <c r="X200" s="59">
        <f t="shared" si="39"/>
        <v>0</v>
      </c>
    </row>
    <row r="201" spans="1:24" x14ac:dyDescent="0.25">
      <c r="A201" s="22">
        <v>199</v>
      </c>
      <c r="B201" s="18"/>
      <c r="C201" s="19"/>
      <c r="D201" s="19"/>
      <c r="E201" s="87"/>
      <c r="F201" s="24"/>
      <c r="G201" s="4"/>
      <c r="H201" s="4" t="e">
        <f t="shared" si="30"/>
        <v>#N/A</v>
      </c>
      <c r="I201" s="4" t="str">
        <f t="shared" si="31"/>
        <v>00</v>
      </c>
      <c r="J201" s="4" t="str">
        <f t="shared" si="32"/>
        <v>00</v>
      </c>
      <c r="K201" s="14" t="e">
        <f t="shared" si="36"/>
        <v>#N/A</v>
      </c>
      <c r="L201" s="17" t="e">
        <f t="shared" si="33"/>
        <v>#N/A</v>
      </c>
      <c r="M201" s="20" t="str">
        <f t="shared" si="34"/>
        <v/>
      </c>
      <c r="N201" s="21" t="str">
        <f t="shared" si="35"/>
        <v/>
      </c>
      <c r="O201" s="24"/>
      <c r="P201" s="24"/>
      <c r="T201" s="2" t="s">
        <v>141</v>
      </c>
      <c r="U201" s="82"/>
      <c r="V201" s="93">
        <f t="shared" si="37"/>
        <v>0</v>
      </c>
      <c r="W201" s="47" t="str">
        <f t="shared" si="38"/>
        <v>0</v>
      </c>
      <c r="X201" s="59">
        <f t="shared" si="39"/>
        <v>0</v>
      </c>
    </row>
    <row r="202" spans="1:24" x14ac:dyDescent="0.25">
      <c r="A202" s="22">
        <v>200</v>
      </c>
      <c r="B202" s="18"/>
      <c r="C202" s="19"/>
      <c r="D202" s="19"/>
      <c r="E202" s="87"/>
      <c r="F202" s="24"/>
      <c r="G202" s="4"/>
      <c r="H202" s="4" t="e">
        <f t="shared" si="30"/>
        <v>#N/A</v>
      </c>
      <c r="I202" s="4" t="str">
        <f t="shared" si="31"/>
        <v>00</v>
      </c>
      <c r="J202" s="4" t="str">
        <f t="shared" si="32"/>
        <v>00</v>
      </c>
      <c r="K202" s="14" t="e">
        <f t="shared" si="36"/>
        <v>#N/A</v>
      </c>
      <c r="L202" s="17" t="e">
        <f t="shared" si="33"/>
        <v>#N/A</v>
      </c>
      <c r="M202" s="20" t="str">
        <f t="shared" si="34"/>
        <v/>
      </c>
      <c r="N202" s="21" t="str">
        <f t="shared" si="35"/>
        <v/>
      </c>
      <c r="O202" s="24"/>
      <c r="P202" s="24"/>
      <c r="T202" s="2" t="s">
        <v>141</v>
      </c>
      <c r="U202" s="82"/>
      <c r="V202" s="93">
        <f t="shared" si="37"/>
        <v>0</v>
      </c>
      <c r="W202" s="47" t="str">
        <f t="shared" si="38"/>
        <v>0</v>
      </c>
      <c r="X202" s="59">
        <f t="shared" si="39"/>
        <v>0</v>
      </c>
    </row>
    <row r="203" spans="1:24" x14ac:dyDescent="0.25">
      <c r="A203" s="22">
        <v>201</v>
      </c>
      <c r="B203" s="18"/>
      <c r="C203" s="19"/>
      <c r="D203" s="19"/>
      <c r="E203" s="87"/>
      <c r="F203" s="24"/>
      <c r="G203" s="4"/>
      <c r="H203" s="4" t="e">
        <f t="shared" si="30"/>
        <v>#N/A</v>
      </c>
      <c r="I203" s="4" t="str">
        <f t="shared" si="31"/>
        <v>00</v>
      </c>
      <c r="J203" s="4" t="str">
        <f t="shared" si="32"/>
        <v>00</v>
      </c>
      <c r="K203" s="14" t="e">
        <f t="shared" si="36"/>
        <v>#N/A</v>
      </c>
      <c r="L203" s="17" t="e">
        <f t="shared" si="33"/>
        <v>#N/A</v>
      </c>
      <c r="M203" s="20" t="str">
        <f t="shared" si="34"/>
        <v/>
      </c>
      <c r="N203" s="21" t="str">
        <f t="shared" si="35"/>
        <v/>
      </c>
      <c r="O203" s="24"/>
      <c r="P203" s="24"/>
      <c r="T203" s="2" t="s">
        <v>141</v>
      </c>
      <c r="U203" s="82"/>
      <c r="V203" s="93">
        <f t="shared" si="37"/>
        <v>0</v>
      </c>
      <c r="W203" s="47" t="str">
        <f t="shared" si="38"/>
        <v>0</v>
      </c>
      <c r="X203" s="59">
        <f t="shared" si="39"/>
        <v>0</v>
      </c>
    </row>
    <row r="204" spans="1:24" x14ac:dyDescent="0.25">
      <c r="A204" s="22">
        <v>202</v>
      </c>
      <c r="B204" s="18"/>
      <c r="C204" s="19"/>
      <c r="D204" s="19"/>
      <c r="E204" s="87"/>
      <c r="F204" s="24"/>
      <c r="G204" s="4"/>
      <c r="H204" s="4" t="e">
        <f t="shared" si="30"/>
        <v>#N/A</v>
      </c>
      <c r="I204" s="4" t="str">
        <f t="shared" si="31"/>
        <v>00</v>
      </c>
      <c r="J204" s="4" t="str">
        <f t="shared" si="32"/>
        <v>00</v>
      </c>
      <c r="K204" s="14" t="e">
        <f t="shared" si="36"/>
        <v>#N/A</v>
      </c>
      <c r="L204" s="17" t="e">
        <f t="shared" si="33"/>
        <v>#N/A</v>
      </c>
      <c r="M204" s="20" t="str">
        <f t="shared" si="34"/>
        <v/>
      </c>
      <c r="N204" s="21" t="str">
        <f t="shared" si="35"/>
        <v/>
      </c>
      <c r="O204" s="24"/>
      <c r="P204" s="24"/>
      <c r="T204" s="2" t="s">
        <v>141</v>
      </c>
      <c r="U204" s="82"/>
      <c r="V204" s="93">
        <f t="shared" si="37"/>
        <v>0</v>
      </c>
      <c r="W204" s="47" t="str">
        <f t="shared" si="38"/>
        <v>0</v>
      </c>
      <c r="X204" s="59">
        <f t="shared" si="39"/>
        <v>0</v>
      </c>
    </row>
    <row r="205" spans="1:24" x14ac:dyDescent="0.25">
      <c r="A205" s="22">
        <v>203</v>
      </c>
      <c r="B205" s="18"/>
      <c r="C205" s="19"/>
      <c r="D205" s="19"/>
      <c r="E205" s="87"/>
      <c r="F205" s="24"/>
      <c r="G205" s="4"/>
      <c r="H205" s="4" t="e">
        <f t="shared" si="30"/>
        <v>#N/A</v>
      </c>
      <c r="I205" s="4" t="str">
        <f t="shared" si="31"/>
        <v>00</v>
      </c>
      <c r="J205" s="4" t="str">
        <f t="shared" si="32"/>
        <v>00</v>
      </c>
      <c r="K205" s="14" t="e">
        <f t="shared" si="36"/>
        <v>#N/A</v>
      </c>
      <c r="L205" s="17" t="e">
        <f t="shared" si="33"/>
        <v>#N/A</v>
      </c>
      <c r="M205" s="20" t="str">
        <f t="shared" si="34"/>
        <v/>
      </c>
      <c r="N205" s="21" t="str">
        <f t="shared" si="35"/>
        <v/>
      </c>
      <c r="O205" s="24"/>
      <c r="P205" s="24"/>
      <c r="T205" s="2" t="s">
        <v>141</v>
      </c>
      <c r="U205" s="82"/>
      <c r="V205" s="93">
        <f t="shared" si="37"/>
        <v>0</v>
      </c>
      <c r="W205" s="47" t="str">
        <f t="shared" si="38"/>
        <v>0</v>
      </c>
      <c r="X205" s="59">
        <f t="shared" si="39"/>
        <v>0</v>
      </c>
    </row>
    <row r="206" spans="1:24" x14ac:dyDescent="0.25">
      <c r="A206" s="22">
        <v>204</v>
      </c>
      <c r="B206" s="18"/>
      <c r="C206" s="19"/>
      <c r="D206" s="19"/>
      <c r="E206" s="87"/>
      <c r="F206" s="24"/>
      <c r="G206" s="4"/>
      <c r="H206" s="4" t="e">
        <f t="shared" si="30"/>
        <v>#N/A</v>
      </c>
      <c r="I206" s="4" t="str">
        <f t="shared" si="31"/>
        <v>00</v>
      </c>
      <c r="J206" s="4" t="str">
        <f t="shared" si="32"/>
        <v>00</v>
      </c>
      <c r="K206" s="14" t="e">
        <f t="shared" si="36"/>
        <v>#N/A</v>
      </c>
      <c r="L206" s="17" t="e">
        <f t="shared" si="33"/>
        <v>#N/A</v>
      </c>
      <c r="M206" s="20" t="str">
        <f t="shared" si="34"/>
        <v/>
      </c>
      <c r="N206" s="21" t="str">
        <f t="shared" si="35"/>
        <v/>
      </c>
      <c r="O206" s="24"/>
      <c r="P206" s="24"/>
      <c r="T206" s="2" t="s">
        <v>141</v>
      </c>
      <c r="U206" s="82"/>
      <c r="V206" s="93">
        <f t="shared" si="37"/>
        <v>0</v>
      </c>
      <c r="W206" s="47" t="str">
        <f t="shared" si="38"/>
        <v>0</v>
      </c>
      <c r="X206" s="59">
        <f t="shared" si="39"/>
        <v>0</v>
      </c>
    </row>
    <row r="207" spans="1:24" x14ac:dyDescent="0.25">
      <c r="A207" s="22">
        <v>205</v>
      </c>
      <c r="B207" s="18"/>
      <c r="C207" s="19"/>
      <c r="D207" s="19"/>
      <c r="E207" s="87"/>
      <c r="F207" s="24"/>
      <c r="G207" s="4"/>
      <c r="H207" s="4" t="e">
        <f t="shared" si="30"/>
        <v>#N/A</v>
      </c>
      <c r="I207" s="4" t="str">
        <f t="shared" si="31"/>
        <v>00</v>
      </c>
      <c r="J207" s="4" t="str">
        <f t="shared" si="32"/>
        <v>00</v>
      </c>
      <c r="K207" s="14" t="e">
        <f t="shared" si="36"/>
        <v>#N/A</v>
      </c>
      <c r="L207" s="17" t="e">
        <f t="shared" si="33"/>
        <v>#N/A</v>
      </c>
      <c r="M207" s="20" t="str">
        <f t="shared" si="34"/>
        <v/>
      </c>
      <c r="N207" s="21" t="str">
        <f t="shared" si="35"/>
        <v/>
      </c>
      <c r="O207" s="24"/>
      <c r="P207" s="24"/>
      <c r="T207" s="2" t="s">
        <v>141</v>
      </c>
      <c r="U207" s="82"/>
      <c r="V207" s="93">
        <f t="shared" si="37"/>
        <v>0</v>
      </c>
      <c r="W207" s="47" t="str">
        <f t="shared" si="38"/>
        <v>0</v>
      </c>
      <c r="X207" s="59">
        <f t="shared" si="39"/>
        <v>0</v>
      </c>
    </row>
    <row r="208" spans="1:24" x14ac:dyDescent="0.25">
      <c r="A208" s="22">
        <v>206</v>
      </c>
      <c r="B208" s="18"/>
      <c r="C208" s="19"/>
      <c r="D208" s="19"/>
      <c r="E208" s="87"/>
      <c r="F208" s="24"/>
      <c r="G208" s="4"/>
      <c r="H208" s="4" t="e">
        <f t="shared" si="30"/>
        <v>#N/A</v>
      </c>
      <c r="I208" s="4" t="str">
        <f t="shared" si="31"/>
        <v>00</v>
      </c>
      <c r="J208" s="4" t="str">
        <f t="shared" si="32"/>
        <v>00</v>
      </c>
      <c r="K208" s="14" t="e">
        <f t="shared" si="36"/>
        <v>#N/A</v>
      </c>
      <c r="L208" s="17" t="e">
        <f t="shared" si="33"/>
        <v>#N/A</v>
      </c>
      <c r="M208" s="20" t="str">
        <f t="shared" si="34"/>
        <v/>
      </c>
      <c r="N208" s="21" t="str">
        <f t="shared" si="35"/>
        <v/>
      </c>
      <c r="O208" s="24"/>
      <c r="P208" s="24"/>
      <c r="T208" s="2" t="s">
        <v>141</v>
      </c>
      <c r="U208" s="82"/>
      <c r="V208" s="93">
        <f t="shared" si="37"/>
        <v>0</v>
      </c>
      <c r="W208" s="47" t="str">
        <f t="shared" si="38"/>
        <v>0</v>
      </c>
      <c r="X208" s="59">
        <f t="shared" si="39"/>
        <v>0</v>
      </c>
    </row>
    <row r="209" spans="1:24" x14ac:dyDescent="0.25">
      <c r="A209" s="22">
        <v>207</v>
      </c>
      <c r="B209" s="18"/>
      <c r="C209" s="19"/>
      <c r="D209" s="19"/>
      <c r="E209" s="87"/>
      <c r="F209" s="24"/>
      <c r="G209" s="4"/>
      <c r="H209" s="4" t="e">
        <f t="shared" si="30"/>
        <v>#N/A</v>
      </c>
      <c r="I209" s="4" t="str">
        <f t="shared" si="31"/>
        <v>00</v>
      </c>
      <c r="J209" s="4" t="str">
        <f t="shared" si="32"/>
        <v>00</v>
      </c>
      <c r="K209" s="14" t="e">
        <f t="shared" si="36"/>
        <v>#N/A</v>
      </c>
      <c r="L209" s="17" t="e">
        <f t="shared" si="33"/>
        <v>#N/A</v>
      </c>
      <c r="M209" s="20" t="str">
        <f t="shared" si="34"/>
        <v/>
      </c>
      <c r="N209" s="21" t="str">
        <f t="shared" si="35"/>
        <v/>
      </c>
      <c r="O209" s="24"/>
      <c r="P209" s="24"/>
      <c r="T209" s="2" t="s">
        <v>141</v>
      </c>
      <c r="U209" s="82"/>
      <c r="V209" s="93">
        <f t="shared" si="37"/>
        <v>0</v>
      </c>
      <c r="W209" s="47" t="str">
        <f t="shared" si="38"/>
        <v>0</v>
      </c>
      <c r="X209" s="59">
        <f t="shared" si="39"/>
        <v>0</v>
      </c>
    </row>
    <row r="210" spans="1:24" x14ac:dyDescent="0.25">
      <c r="A210" s="22">
        <v>208</v>
      </c>
      <c r="B210" s="18"/>
      <c r="C210" s="19"/>
      <c r="D210" s="19"/>
      <c r="E210" s="87"/>
      <c r="F210" s="24"/>
      <c r="G210" s="4"/>
      <c r="H210" s="4" t="e">
        <f t="shared" si="30"/>
        <v>#N/A</v>
      </c>
      <c r="I210" s="4" t="str">
        <f t="shared" si="31"/>
        <v>00</v>
      </c>
      <c r="J210" s="4" t="str">
        <f t="shared" si="32"/>
        <v>00</v>
      </c>
      <c r="K210" s="14" t="e">
        <f t="shared" si="36"/>
        <v>#N/A</v>
      </c>
      <c r="L210" s="17" t="e">
        <f t="shared" si="33"/>
        <v>#N/A</v>
      </c>
      <c r="M210" s="20" t="str">
        <f t="shared" si="34"/>
        <v/>
      </c>
      <c r="N210" s="21" t="str">
        <f t="shared" si="35"/>
        <v/>
      </c>
      <c r="O210" s="24"/>
      <c r="P210" s="24"/>
      <c r="T210" s="2" t="s">
        <v>141</v>
      </c>
      <c r="U210" s="82"/>
      <c r="V210" s="93">
        <f t="shared" si="37"/>
        <v>0</v>
      </c>
      <c r="W210" s="47" t="str">
        <f t="shared" si="38"/>
        <v>0</v>
      </c>
      <c r="X210" s="59">
        <f t="shared" si="39"/>
        <v>0</v>
      </c>
    </row>
    <row r="211" spans="1:24" x14ac:dyDescent="0.25">
      <c r="A211" s="22">
        <v>209</v>
      </c>
      <c r="B211" s="18"/>
      <c r="C211" s="19"/>
      <c r="D211" s="19"/>
      <c r="E211" s="87"/>
      <c r="F211" s="24"/>
      <c r="G211" s="4"/>
      <c r="H211" s="4" t="e">
        <f t="shared" si="30"/>
        <v>#N/A</v>
      </c>
      <c r="I211" s="4" t="str">
        <f t="shared" si="31"/>
        <v>00</v>
      </c>
      <c r="J211" s="4" t="str">
        <f t="shared" si="32"/>
        <v>00</v>
      </c>
      <c r="K211" s="14" t="e">
        <f t="shared" si="36"/>
        <v>#N/A</v>
      </c>
      <c r="L211" s="17" t="e">
        <f t="shared" si="33"/>
        <v>#N/A</v>
      </c>
      <c r="M211" s="20" t="str">
        <f t="shared" si="34"/>
        <v/>
      </c>
      <c r="N211" s="21" t="str">
        <f t="shared" si="35"/>
        <v/>
      </c>
      <c r="O211" s="24"/>
      <c r="P211" s="24"/>
      <c r="T211" s="2" t="s">
        <v>141</v>
      </c>
      <c r="U211" s="82"/>
      <c r="V211" s="93">
        <f t="shared" si="37"/>
        <v>0</v>
      </c>
      <c r="W211" s="47" t="str">
        <f t="shared" si="38"/>
        <v>0</v>
      </c>
      <c r="X211" s="59">
        <f t="shared" si="39"/>
        <v>0</v>
      </c>
    </row>
    <row r="212" spans="1:24" x14ac:dyDescent="0.25">
      <c r="A212" s="22">
        <v>210</v>
      </c>
      <c r="B212" s="18"/>
      <c r="C212" s="19"/>
      <c r="D212" s="19"/>
      <c r="E212" s="87"/>
      <c r="F212" s="24"/>
      <c r="G212" s="4"/>
      <c r="H212" s="4" t="e">
        <f t="shared" si="30"/>
        <v>#N/A</v>
      </c>
      <c r="I212" s="4" t="str">
        <f t="shared" si="31"/>
        <v>00</v>
      </c>
      <c r="J212" s="4" t="str">
        <f t="shared" si="32"/>
        <v>00</v>
      </c>
      <c r="K212" s="14" t="e">
        <f t="shared" si="36"/>
        <v>#N/A</v>
      </c>
      <c r="L212" s="17" t="e">
        <f t="shared" si="33"/>
        <v>#N/A</v>
      </c>
      <c r="M212" s="20" t="str">
        <f t="shared" si="34"/>
        <v/>
      </c>
      <c r="N212" s="21" t="str">
        <f t="shared" si="35"/>
        <v/>
      </c>
      <c r="O212" s="24"/>
      <c r="P212" s="24"/>
      <c r="T212" s="2" t="s">
        <v>141</v>
      </c>
      <c r="U212" s="82"/>
      <c r="V212" s="93">
        <f t="shared" si="37"/>
        <v>0</v>
      </c>
      <c r="W212" s="47" t="str">
        <f t="shared" si="38"/>
        <v>0</v>
      </c>
      <c r="X212" s="59">
        <f t="shared" si="39"/>
        <v>0</v>
      </c>
    </row>
    <row r="213" spans="1:24" x14ac:dyDescent="0.25">
      <c r="A213" s="22">
        <v>211</v>
      </c>
      <c r="B213" s="18"/>
      <c r="C213" s="19"/>
      <c r="D213" s="19"/>
      <c r="E213" s="87"/>
      <c r="F213" s="24"/>
      <c r="G213" s="4"/>
      <c r="H213" s="4" t="e">
        <f t="shared" si="30"/>
        <v>#N/A</v>
      </c>
      <c r="I213" s="4" t="str">
        <f t="shared" si="31"/>
        <v>00</v>
      </c>
      <c r="J213" s="4" t="str">
        <f t="shared" si="32"/>
        <v>00</v>
      </c>
      <c r="K213" s="14" t="e">
        <f t="shared" si="36"/>
        <v>#N/A</v>
      </c>
      <c r="L213" s="17" t="e">
        <f t="shared" si="33"/>
        <v>#N/A</v>
      </c>
      <c r="M213" s="20" t="str">
        <f t="shared" si="34"/>
        <v/>
      </c>
      <c r="N213" s="21" t="str">
        <f t="shared" si="35"/>
        <v/>
      </c>
      <c r="O213" s="24"/>
      <c r="P213" s="24"/>
      <c r="T213" s="2" t="s">
        <v>141</v>
      </c>
      <c r="U213" s="82"/>
      <c r="V213" s="93">
        <f t="shared" si="37"/>
        <v>0</v>
      </c>
      <c r="W213" s="47" t="str">
        <f t="shared" si="38"/>
        <v>0</v>
      </c>
      <c r="X213" s="59">
        <f t="shared" si="39"/>
        <v>0</v>
      </c>
    </row>
    <row r="214" spans="1:24" x14ac:dyDescent="0.25">
      <c r="A214" s="22">
        <v>212</v>
      </c>
      <c r="B214" s="18"/>
      <c r="C214" s="19"/>
      <c r="D214" s="19"/>
      <c r="E214" s="87"/>
      <c r="F214" s="24"/>
      <c r="G214" s="4"/>
      <c r="H214" s="4" t="e">
        <f t="shared" si="30"/>
        <v>#N/A</v>
      </c>
      <c r="I214" s="4" t="str">
        <f t="shared" si="31"/>
        <v>00</v>
      </c>
      <c r="J214" s="4" t="str">
        <f t="shared" si="32"/>
        <v>00</v>
      </c>
      <c r="K214" s="14" t="e">
        <f t="shared" si="36"/>
        <v>#N/A</v>
      </c>
      <c r="L214" s="17" t="e">
        <f t="shared" si="33"/>
        <v>#N/A</v>
      </c>
      <c r="M214" s="20" t="str">
        <f t="shared" si="34"/>
        <v/>
      </c>
      <c r="N214" s="21" t="str">
        <f t="shared" si="35"/>
        <v/>
      </c>
      <c r="O214" s="24"/>
      <c r="P214" s="24"/>
      <c r="T214" s="2" t="s">
        <v>141</v>
      </c>
      <c r="U214" s="82"/>
      <c r="V214" s="93">
        <f t="shared" si="37"/>
        <v>0</v>
      </c>
      <c r="W214" s="47" t="str">
        <f t="shared" si="38"/>
        <v>0</v>
      </c>
      <c r="X214" s="59">
        <f t="shared" si="39"/>
        <v>0</v>
      </c>
    </row>
    <row r="215" spans="1:24" x14ac:dyDescent="0.25">
      <c r="A215" s="22">
        <v>213</v>
      </c>
      <c r="B215" s="18"/>
      <c r="C215" s="19"/>
      <c r="D215" s="19"/>
      <c r="E215" s="87"/>
      <c r="F215" s="24"/>
      <c r="G215" s="4"/>
      <c r="H215" s="4" t="e">
        <f t="shared" si="30"/>
        <v>#N/A</v>
      </c>
      <c r="I215" s="4" t="str">
        <f t="shared" si="31"/>
        <v>00</v>
      </c>
      <c r="J215" s="4" t="str">
        <f t="shared" si="32"/>
        <v>00</v>
      </c>
      <c r="K215" s="14" t="e">
        <f t="shared" si="36"/>
        <v>#N/A</v>
      </c>
      <c r="L215" s="17" t="e">
        <f t="shared" si="33"/>
        <v>#N/A</v>
      </c>
      <c r="M215" s="20" t="str">
        <f t="shared" si="34"/>
        <v/>
      </c>
      <c r="N215" s="21" t="str">
        <f t="shared" si="35"/>
        <v/>
      </c>
      <c r="O215" s="24"/>
      <c r="P215" s="24"/>
      <c r="T215" s="2" t="s">
        <v>141</v>
      </c>
      <c r="U215" s="82"/>
      <c r="V215" s="93">
        <f t="shared" si="37"/>
        <v>0</v>
      </c>
      <c r="W215" s="47" t="str">
        <f t="shared" si="38"/>
        <v>0</v>
      </c>
      <c r="X215" s="59">
        <f t="shared" si="39"/>
        <v>0</v>
      </c>
    </row>
    <row r="216" spans="1:24" x14ac:dyDescent="0.25">
      <c r="A216" s="22">
        <v>214</v>
      </c>
      <c r="B216" s="18"/>
      <c r="C216" s="19"/>
      <c r="D216" s="19"/>
      <c r="E216" s="87"/>
      <c r="F216" s="24"/>
      <c r="G216" s="4"/>
      <c r="H216" s="4" t="e">
        <f t="shared" si="30"/>
        <v>#N/A</v>
      </c>
      <c r="I216" s="4" t="str">
        <f t="shared" si="31"/>
        <v>00</v>
      </c>
      <c r="J216" s="4" t="str">
        <f t="shared" si="32"/>
        <v>00</v>
      </c>
      <c r="K216" s="14" t="e">
        <f t="shared" si="36"/>
        <v>#N/A</v>
      </c>
      <c r="L216" s="17" t="e">
        <f t="shared" si="33"/>
        <v>#N/A</v>
      </c>
      <c r="M216" s="20" t="str">
        <f t="shared" si="34"/>
        <v/>
      </c>
      <c r="N216" s="21" t="str">
        <f t="shared" si="35"/>
        <v/>
      </c>
      <c r="O216" s="24"/>
      <c r="P216" s="24"/>
      <c r="T216" s="2" t="s">
        <v>141</v>
      </c>
      <c r="U216" s="82"/>
      <c r="V216" s="93">
        <f t="shared" si="37"/>
        <v>0</v>
      </c>
      <c r="W216" s="47" t="str">
        <f t="shared" si="38"/>
        <v>0</v>
      </c>
      <c r="X216" s="59">
        <f t="shared" si="39"/>
        <v>0</v>
      </c>
    </row>
    <row r="217" spans="1:24" x14ac:dyDescent="0.25">
      <c r="A217" s="22">
        <v>215</v>
      </c>
      <c r="B217" s="18"/>
      <c r="C217" s="19"/>
      <c r="D217" s="19"/>
      <c r="E217" s="87"/>
      <c r="F217" s="24"/>
      <c r="G217" s="4"/>
      <c r="H217" s="4" t="e">
        <f t="shared" si="30"/>
        <v>#N/A</v>
      </c>
      <c r="I217" s="4" t="str">
        <f t="shared" si="31"/>
        <v>00</v>
      </c>
      <c r="J217" s="4" t="str">
        <f t="shared" si="32"/>
        <v>00</v>
      </c>
      <c r="K217" s="14" t="e">
        <f t="shared" si="36"/>
        <v>#N/A</v>
      </c>
      <c r="L217" s="17" t="e">
        <f t="shared" si="33"/>
        <v>#N/A</v>
      </c>
      <c r="M217" s="20" t="str">
        <f t="shared" si="34"/>
        <v/>
      </c>
      <c r="N217" s="21" t="str">
        <f t="shared" si="35"/>
        <v/>
      </c>
      <c r="O217" s="24"/>
      <c r="P217" s="24"/>
      <c r="T217" s="2" t="s">
        <v>141</v>
      </c>
      <c r="U217" s="82"/>
      <c r="V217" s="93">
        <f t="shared" si="37"/>
        <v>0</v>
      </c>
      <c r="W217" s="47" t="str">
        <f t="shared" si="38"/>
        <v>0</v>
      </c>
      <c r="X217" s="59">
        <f t="shared" si="39"/>
        <v>0</v>
      </c>
    </row>
    <row r="218" spans="1:24" x14ac:dyDescent="0.25">
      <c r="A218" s="22">
        <v>216</v>
      </c>
      <c r="B218" s="18"/>
      <c r="C218" s="19"/>
      <c r="D218" s="19"/>
      <c r="E218" s="87"/>
      <c r="F218" s="24"/>
      <c r="G218" s="4"/>
      <c r="H218" s="4" t="e">
        <f t="shared" si="30"/>
        <v>#N/A</v>
      </c>
      <c r="I218" s="4" t="str">
        <f t="shared" si="31"/>
        <v>00</v>
      </c>
      <c r="J218" s="4" t="str">
        <f t="shared" si="32"/>
        <v>00</v>
      </c>
      <c r="K218" s="14" t="e">
        <f t="shared" si="36"/>
        <v>#N/A</v>
      </c>
      <c r="L218" s="17" t="e">
        <f t="shared" si="33"/>
        <v>#N/A</v>
      </c>
      <c r="M218" s="20" t="str">
        <f t="shared" si="34"/>
        <v/>
      </c>
      <c r="N218" s="21" t="str">
        <f t="shared" si="35"/>
        <v/>
      </c>
      <c r="O218" s="24"/>
      <c r="P218" s="24"/>
      <c r="T218" s="2" t="s">
        <v>141</v>
      </c>
      <c r="U218" s="82"/>
      <c r="V218" s="93">
        <f t="shared" si="37"/>
        <v>0</v>
      </c>
      <c r="W218" s="47" t="str">
        <f t="shared" si="38"/>
        <v>0</v>
      </c>
      <c r="X218" s="59">
        <f t="shared" si="39"/>
        <v>0</v>
      </c>
    </row>
    <row r="219" spans="1:24" x14ac:dyDescent="0.25">
      <c r="A219" s="22">
        <v>217</v>
      </c>
      <c r="B219" s="18"/>
      <c r="C219" s="19"/>
      <c r="D219" s="19"/>
      <c r="E219" s="87"/>
      <c r="F219" s="24"/>
      <c r="G219" s="4"/>
      <c r="H219" s="4" t="e">
        <f t="shared" si="30"/>
        <v>#N/A</v>
      </c>
      <c r="I219" s="4" t="str">
        <f t="shared" si="31"/>
        <v>00</v>
      </c>
      <c r="J219" s="4" t="str">
        <f t="shared" si="32"/>
        <v>00</v>
      </c>
      <c r="K219" s="14" t="e">
        <f t="shared" si="36"/>
        <v>#N/A</v>
      </c>
      <c r="L219" s="17" t="e">
        <f t="shared" si="33"/>
        <v>#N/A</v>
      </c>
      <c r="M219" s="20" t="str">
        <f t="shared" si="34"/>
        <v/>
      </c>
      <c r="N219" s="21" t="str">
        <f t="shared" si="35"/>
        <v/>
      </c>
      <c r="O219" s="24"/>
      <c r="P219" s="24"/>
      <c r="T219" s="2" t="s">
        <v>141</v>
      </c>
      <c r="U219" s="82"/>
      <c r="V219" s="93">
        <f t="shared" si="37"/>
        <v>0</v>
      </c>
      <c r="W219" s="47" t="str">
        <f t="shared" si="38"/>
        <v>0</v>
      </c>
      <c r="X219" s="59">
        <f t="shared" si="39"/>
        <v>0</v>
      </c>
    </row>
    <row r="220" spans="1:24" x14ac:dyDescent="0.25">
      <c r="A220" s="22">
        <v>218</v>
      </c>
      <c r="B220" s="18"/>
      <c r="C220" s="19"/>
      <c r="D220" s="19"/>
      <c r="E220" s="87"/>
      <c r="F220" s="24"/>
      <c r="G220" s="4"/>
      <c r="H220" s="4" t="e">
        <f t="shared" si="30"/>
        <v>#N/A</v>
      </c>
      <c r="I220" s="4" t="str">
        <f t="shared" si="31"/>
        <v>00</v>
      </c>
      <c r="J220" s="4" t="str">
        <f t="shared" si="32"/>
        <v>00</v>
      </c>
      <c r="K220" s="14" t="e">
        <f t="shared" si="36"/>
        <v>#N/A</v>
      </c>
      <c r="L220" s="17" t="e">
        <f t="shared" si="33"/>
        <v>#N/A</v>
      </c>
      <c r="M220" s="20" t="str">
        <f t="shared" si="34"/>
        <v/>
      </c>
      <c r="N220" s="21" t="str">
        <f t="shared" si="35"/>
        <v/>
      </c>
      <c r="O220" s="24"/>
      <c r="P220" s="24"/>
      <c r="T220" s="2" t="s">
        <v>141</v>
      </c>
      <c r="U220" s="82"/>
      <c r="V220" s="93">
        <f t="shared" si="37"/>
        <v>0</v>
      </c>
      <c r="W220" s="47" t="str">
        <f t="shared" si="38"/>
        <v>0</v>
      </c>
      <c r="X220" s="59">
        <f t="shared" si="39"/>
        <v>0</v>
      </c>
    </row>
    <row r="221" spans="1:24" x14ac:dyDescent="0.25">
      <c r="A221" s="22">
        <v>219</v>
      </c>
      <c r="B221" s="18"/>
      <c r="C221" s="19"/>
      <c r="D221" s="19"/>
      <c r="E221" s="87"/>
      <c r="F221" s="24"/>
      <c r="G221" s="4"/>
      <c r="H221" s="4" t="e">
        <f t="shared" si="30"/>
        <v>#N/A</v>
      </c>
      <c r="I221" s="4" t="str">
        <f t="shared" si="31"/>
        <v>00</v>
      </c>
      <c r="J221" s="4" t="str">
        <f t="shared" si="32"/>
        <v>00</v>
      </c>
      <c r="K221" s="14" t="e">
        <f t="shared" si="36"/>
        <v>#N/A</v>
      </c>
      <c r="L221" s="17" t="e">
        <f t="shared" si="33"/>
        <v>#N/A</v>
      </c>
      <c r="M221" s="20" t="str">
        <f t="shared" si="34"/>
        <v/>
      </c>
      <c r="N221" s="21" t="str">
        <f t="shared" si="35"/>
        <v/>
      </c>
      <c r="O221" s="24"/>
      <c r="P221" s="24"/>
      <c r="T221" s="2" t="s">
        <v>141</v>
      </c>
      <c r="U221" s="82"/>
      <c r="V221" s="93">
        <f t="shared" si="37"/>
        <v>0</v>
      </c>
      <c r="W221" s="47" t="str">
        <f t="shared" si="38"/>
        <v>0</v>
      </c>
      <c r="X221" s="59">
        <f t="shared" si="39"/>
        <v>0</v>
      </c>
    </row>
    <row r="222" spans="1:24" x14ac:dyDescent="0.25">
      <c r="A222" s="22">
        <v>220</v>
      </c>
      <c r="B222" s="18"/>
      <c r="C222" s="19"/>
      <c r="D222" s="19"/>
      <c r="E222" s="87"/>
      <c r="F222" s="24"/>
      <c r="G222" s="4"/>
      <c r="H222" s="4" t="e">
        <f t="shared" si="30"/>
        <v>#N/A</v>
      </c>
      <c r="I222" s="4" t="str">
        <f t="shared" si="31"/>
        <v>00</v>
      </c>
      <c r="J222" s="4" t="str">
        <f t="shared" si="32"/>
        <v>00</v>
      </c>
      <c r="K222" s="14" t="e">
        <f t="shared" si="36"/>
        <v>#N/A</v>
      </c>
      <c r="L222" s="17" t="e">
        <f t="shared" si="33"/>
        <v>#N/A</v>
      </c>
      <c r="M222" s="20" t="str">
        <f t="shared" si="34"/>
        <v/>
      </c>
      <c r="N222" s="21" t="str">
        <f t="shared" si="35"/>
        <v/>
      </c>
      <c r="O222" s="24"/>
      <c r="P222" s="24"/>
      <c r="T222" s="2" t="s">
        <v>141</v>
      </c>
      <c r="U222" s="82"/>
      <c r="V222" s="93">
        <f t="shared" si="37"/>
        <v>0</v>
      </c>
      <c r="W222" s="47" t="str">
        <f t="shared" si="38"/>
        <v>0</v>
      </c>
      <c r="X222" s="59">
        <f t="shared" si="39"/>
        <v>0</v>
      </c>
    </row>
    <row r="223" spans="1:24" x14ac:dyDescent="0.25">
      <c r="A223" s="22">
        <v>221</v>
      </c>
      <c r="B223" s="18"/>
      <c r="C223" s="19"/>
      <c r="D223" s="19"/>
      <c r="E223" s="87"/>
      <c r="F223" s="24"/>
      <c r="G223" s="4"/>
      <c r="H223" s="4" t="e">
        <f t="shared" si="30"/>
        <v>#N/A</v>
      </c>
      <c r="I223" s="4" t="str">
        <f t="shared" si="31"/>
        <v>00</v>
      </c>
      <c r="J223" s="4" t="str">
        <f t="shared" si="32"/>
        <v>00</v>
      </c>
      <c r="K223" s="14" t="e">
        <f t="shared" si="36"/>
        <v>#N/A</v>
      </c>
      <c r="L223" s="17" t="e">
        <f t="shared" si="33"/>
        <v>#N/A</v>
      </c>
      <c r="M223" s="20" t="str">
        <f t="shared" si="34"/>
        <v/>
      </c>
      <c r="N223" s="21" t="str">
        <f t="shared" si="35"/>
        <v/>
      </c>
      <c r="O223" s="24"/>
      <c r="P223" s="24"/>
      <c r="T223" s="2" t="s">
        <v>141</v>
      </c>
      <c r="U223" s="82"/>
      <c r="V223" s="93">
        <f t="shared" si="37"/>
        <v>0</v>
      </c>
      <c r="W223" s="47" t="str">
        <f t="shared" si="38"/>
        <v>0</v>
      </c>
      <c r="X223" s="59">
        <f t="shared" si="39"/>
        <v>0</v>
      </c>
    </row>
    <row r="224" spans="1:24" x14ac:dyDescent="0.25">
      <c r="A224" s="22">
        <v>222</v>
      </c>
      <c r="B224" s="18"/>
      <c r="C224" s="19"/>
      <c r="D224" s="19"/>
      <c r="E224" s="87"/>
      <c r="F224" s="24"/>
      <c r="G224" s="4"/>
      <c r="H224" s="4" t="e">
        <f t="shared" si="30"/>
        <v>#N/A</v>
      </c>
      <c r="I224" s="4" t="str">
        <f t="shared" si="31"/>
        <v>00</v>
      </c>
      <c r="J224" s="4" t="str">
        <f t="shared" si="32"/>
        <v>00</v>
      </c>
      <c r="K224" s="14" t="e">
        <f t="shared" si="36"/>
        <v>#N/A</v>
      </c>
      <c r="L224" s="17" t="e">
        <f t="shared" si="33"/>
        <v>#N/A</v>
      </c>
      <c r="M224" s="20" t="str">
        <f t="shared" si="34"/>
        <v/>
      </c>
      <c r="N224" s="21" t="str">
        <f t="shared" si="35"/>
        <v/>
      </c>
      <c r="O224" s="24"/>
      <c r="P224" s="24"/>
      <c r="T224" s="2" t="s">
        <v>141</v>
      </c>
      <c r="U224" s="82"/>
      <c r="V224" s="93">
        <f t="shared" si="37"/>
        <v>0</v>
      </c>
      <c r="W224" s="47" t="str">
        <f t="shared" si="38"/>
        <v>0</v>
      </c>
      <c r="X224" s="59">
        <f t="shared" si="39"/>
        <v>0</v>
      </c>
    </row>
    <row r="225" spans="1:24" x14ac:dyDescent="0.25">
      <c r="A225" s="22">
        <v>223</v>
      </c>
      <c r="B225" s="18"/>
      <c r="C225" s="19"/>
      <c r="D225" s="19"/>
      <c r="E225" s="87"/>
      <c r="F225" s="24"/>
      <c r="G225" s="4"/>
      <c r="H225" s="4" t="e">
        <f t="shared" si="30"/>
        <v>#N/A</v>
      </c>
      <c r="I225" s="4" t="str">
        <f t="shared" si="31"/>
        <v>00</v>
      </c>
      <c r="J225" s="4" t="str">
        <f t="shared" si="32"/>
        <v>00</v>
      </c>
      <c r="K225" s="14" t="e">
        <f t="shared" si="36"/>
        <v>#N/A</v>
      </c>
      <c r="L225" s="17" t="e">
        <f t="shared" si="33"/>
        <v>#N/A</v>
      </c>
      <c r="M225" s="20" t="str">
        <f t="shared" si="34"/>
        <v/>
      </c>
      <c r="N225" s="21" t="str">
        <f t="shared" si="35"/>
        <v/>
      </c>
      <c r="O225" s="24"/>
      <c r="P225" s="24"/>
      <c r="T225" s="2" t="s">
        <v>141</v>
      </c>
      <c r="U225" s="82"/>
      <c r="V225" s="93">
        <f t="shared" si="37"/>
        <v>0</v>
      </c>
      <c r="W225" s="47" t="str">
        <f t="shared" si="38"/>
        <v>0</v>
      </c>
      <c r="X225" s="59">
        <f t="shared" si="39"/>
        <v>0</v>
      </c>
    </row>
    <row r="226" spans="1:24" x14ac:dyDescent="0.25">
      <c r="A226" s="22">
        <v>224</v>
      </c>
      <c r="B226" s="18"/>
      <c r="C226" s="19"/>
      <c r="D226" s="19"/>
      <c r="E226" s="87"/>
      <c r="F226" s="24"/>
      <c r="G226" s="4"/>
      <c r="H226" s="4" t="e">
        <f t="shared" si="30"/>
        <v>#N/A</v>
      </c>
      <c r="I226" s="4" t="str">
        <f t="shared" si="31"/>
        <v>00</v>
      </c>
      <c r="J226" s="4" t="str">
        <f t="shared" si="32"/>
        <v>00</v>
      </c>
      <c r="K226" s="14" t="e">
        <f t="shared" si="36"/>
        <v>#N/A</v>
      </c>
      <c r="L226" s="17" t="e">
        <f t="shared" si="33"/>
        <v>#N/A</v>
      </c>
      <c r="M226" s="20" t="str">
        <f t="shared" si="34"/>
        <v/>
      </c>
      <c r="N226" s="21" t="str">
        <f t="shared" si="35"/>
        <v/>
      </c>
      <c r="O226" s="24"/>
      <c r="P226" s="24"/>
      <c r="T226" s="2" t="s">
        <v>141</v>
      </c>
      <c r="U226" s="82"/>
      <c r="V226" s="93">
        <f t="shared" si="37"/>
        <v>0</v>
      </c>
      <c r="W226" s="47" t="str">
        <f t="shared" si="38"/>
        <v>0</v>
      </c>
      <c r="X226" s="59">
        <f t="shared" si="39"/>
        <v>0</v>
      </c>
    </row>
    <row r="227" spans="1:24" x14ac:dyDescent="0.25">
      <c r="A227" s="22">
        <v>225</v>
      </c>
      <c r="B227" s="18"/>
      <c r="C227" s="19"/>
      <c r="D227" s="19"/>
      <c r="E227" s="87"/>
      <c r="F227" s="24"/>
      <c r="G227" s="4"/>
      <c r="H227" s="4" t="e">
        <f t="shared" si="30"/>
        <v>#N/A</v>
      </c>
      <c r="I227" s="4" t="str">
        <f t="shared" si="31"/>
        <v>00</v>
      </c>
      <c r="J227" s="4" t="str">
        <f t="shared" si="32"/>
        <v>00</v>
      </c>
      <c r="K227" s="14" t="e">
        <f t="shared" si="36"/>
        <v>#N/A</v>
      </c>
      <c r="L227" s="17" t="e">
        <f t="shared" si="33"/>
        <v>#N/A</v>
      </c>
      <c r="M227" s="20" t="str">
        <f t="shared" si="34"/>
        <v/>
      </c>
      <c r="N227" s="21" t="str">
        <f t="shared" si="35"/>
        <v/>
      </c>
      <c r="O227" s="24"/>
      <c r="P227" s="24"/>
      <c r="T227" s="2" t="s">
        <v>141</v>
      </c>
      <c r="U227" s="82"/>
      <c r="V227" s="93">
        <f t="shared" si="37"/>
        <v>0</v>
      </c>
      <c r="W227" s="47" t="str">
        <f t="shared" si="38"/>
        <v>0</v>
      </c>
      <c r="X227" s="59">
        <f t="shared" si="39"/>
        <v>0</v>
      </c>
    </row>
    <row r="228" spans="1:24" x14ac:dyDescent="0.25">
      <c r="A228" s="22">
        <v>226</v>
      </c>
      <c r="B228" s="18"/>
      <c r="C228" s="19"/>
      <c r="D228" s="19"/>
      <c r="E228" s="87"/>
      <c r="F228" s="24"/>
      <c r="G228" s="4"/>
      <c r="H228" s="4" t="e">
        <f t="shared" si="30"/>
        <v>#N/A</v>
      </c>
      <c r="I228" s="4" t="str">
        <f t="shared" si="31"/>
        <v>00</v>
      </c>
      <c r="J228" s="4" t="str">
        <f t="shared" si="32"/>
        <v>00</v>
      </c>
      <c r="K228" s="14" t="e">
        <f t="shared" si="36"/>
        <v>#N/A</v>
      </c>
      <c r="L228" s="17" t="e">
        <f t="shared" si="33"/>
        <v>#N/A</v>
      </c>
      <c r="M228" s="20" t="str">
        <f t="shared" si="34"/>
        <v/>
      </c>
      <c r="N228" s="21" t="str">
        <f t="shared" si="35"/>
        <v/>
      </c>
      <c r="O228" s="24"/>
      <c r="P228" s="24"/>
      <c r="T228" s="2" t="s">
        <v>141</v>
      </c>
      <c r="U228" s="82"/>
      <c r="V228" s="93">
        <f t="shared" si="37"/>
        <v>0</v>
      </c>
      <c r="W228" s="47" t="str">
        <f t="shared" si="38"/>
        <v>0</v>
      </c>
      <c r="X228" s="59">
        <f t="shared" si="39"/>
        <v>0</v>
      </c>
    </row>
    <row r="229" spans="1:24" x14ac:dyDescent="0.25">
      <c r="A229" s="22">
        <v>227</v>
      </c>
      <c r="B229" s="18"/>
      <c r="C229" s="19"/>
      <c r="D229" s="19"/>
      <c r="E229" s="87"/>
      <c r="F229" s="24"/>
      <c r="G229" s="4"/>
      <c r="H229" s="4" t="e">
        <f t="shared" si="30"/>
        <v>#N/A</v>
      </c>
      <c r="I229" s="4" t="str">
        <f t="shared" si="31"/>
        <v>00</v>
      </c>
      <c r="J229" s="4" t="str">
        <f t="shared" si="32"/>
        <v>00</v>
      </c>
      <c r="K229" s="14" t="e">
        <f t="shared" si="36"/>
        <v>#N/A</v>
      </c>
      <c r="L229" s="17" t="e">
        <f t="shared" si="33"/>
        <v>#N/A</v>
      </c>
      <c r="M229" s="20" t="str">
        <f t="shared" si="34"/>
        <v/>
      </c>
      <c r="N229" s="21" t="str">
        <f t="shared" si="35"/>
        <v/>
      </c>
      <c r="O229" s="24"/>
      <c r="P229" s="24"/>
      <c r="T229" s="2" t="s">
        <v>141</v>
      </c>
      <c r="U229" s="82"/>
      <c r="V229" s="93">
        <f t="shared" si="37"/>
        <v>0</v>
      </c>
      <c r="W229" s="47" t="str">
        <f t="shared" si="38"/>
        <v>0</v>
      </c>
      <c r="X229" s="59">
        <f t="shared" si="39"/>
        <v>0</v>
      </c>
    </row>
    <row r="230" spans="1:24" x14ac:dyDescent="0.25">
      <c r="A230" s="22">
        <v>228</v>
      </c>
      <c r="B230" s="18"/>
      <c r="C230" s="19"/>
      <c r="D230" s="19"/>
      <c r="E230" s="87"/>
      <c r="F230" s="24"/>
      <c r="G230" s="4"/>
      <c r="H230" s="4" t="e">
        <f t="shared" si="30"/>
        <v>#N/A</v>
      </c>
      <c r="I230" s="4" t="str">
        <f t="shared" si="31"/>
        <v>00</v>
      </c>
      <c r="J230" s="4" t="str">
        <f t="shared" si="32"/>
        <v>00</v>
      </c>
      <c r="K230" s="14" t="e">
        <f t="shared" si="36"/>
        <v>#N/A</v>
      </c>
      <c r="L230" s="17" t="e">
        <f t="shared" si="33"/>
        <v>#N/A</v>
      </c>
      <c r="M230" s="20" t="str">
        <f t="shared" si="34"/>
        <v/>
      </c>
      <c r="N230" s="21" t="str">
        <f t="shared" si="35"/>
        <v/>
      </c>
      <c r="O230" s="24"/>
      <c r="P230" s="24"/>
      <c r="T230" s="2" t="s">
        <v>141</v>
      </c>
      <c r="U230" s="82"/>
      <c r="V230" s="93">
        <f t="shared" si="37"/>
        <v>0</v>
      </c>
      <c r="W230" s="47" t="str">
        <f t="shared" si="38"/>
        <v>0</v>
      </c>
      <c r="X230" s="59">
        <f t="shared" si="39"/>
        <v>0</v>
      </c>
    </row>
    <row r="231" spans="1:24" x14ac:dyDescent="0.25">
      <c r="A231" s="22">
        <v>229</v>
      </c>
      <c r="B231" s="18"/>
      <c r="C231" s="19"/>
      <c r="D231" s="19"/>
      <c r="E231" s="87"/>
      <c r="F231" s="24"/>
      <c r="G231" s="4"/>
      <c r="H231" s="4" t="e">
        <f t="shared" si="30"/>
        <v>#N/A</v>
      </c>
      <c r="I231" s="4" t="str">
        <f t="shared" si="31"/>
        <v>00</v>
      </c>
      <c r="J231" s="4" t="str">
        <f t="shared" si="32"/>
        <v>00</v>
      </c>
      <c r="K231" s="14" t="e">
        <f t="shared" si="36"/>
        <v>#N/A</v>
      </c>
      <c r="L231" s="17" t="e">
        <f t="shared" si="33"/>
        <v>#N/A</v>
      </c>
      <c r="M231" s="20" t="str">
        <f t="shared" si="34"/>
        <v/>
      </c>
      <c r="N231" s="21" t="str">
        <f t="shared" si="35"/>
        <v/>
      </c>
      <c r="O231" s="24"/>
      <c r="P231" s="24"/>
      <c r="T231" s="2" t="s">
        <v>141</v>
      </c>
      <c r="U231" s="82"/>
      <c r="V231" s="93">
        <f t="shared" si="37"/>
        <v>0</v>
      </c>
      <c r="W231" s="47" t="str">
        <f t="shared" si="38"/>
        <v>0</v>
      </c>
      <c r="X231" s="59">
        <f t="shared" si="39"/>
        <v>0</v>
      </c>
    </row>
    <row r="232" spans="1:24" x14ac:dyDescent="0.25">
      <c r="A232" s="22">
        <v>230</v>
      </c>
      <c r="B232" s="18"/>
      <c r="C232" s="19"/>
      <c r="D232" s="19"/>
      <c r="E232" s="87"/>
      <c r="F232" s="24"/>
      <c r="G232" s="4"/>
      <c r="H232" s="4" t="e">
        <f t="shared" si="30"/>
        <v>#N/A</v>
      </c>
      <c r="I232" s="4" t="str">
        <f t="shared" si="31"/>
        <v>00</v>
      </c>
      <c r="J232" s="4" t="str">
        <f t="shared" si="32"/>
        <v>00</v>
      </c>
      <c r="K232" s="14" t="e">
        <f t="shared" si="36"/>
        <v>#N/A</v>
      </c>
      <c r="L232" s="17" t="e">
        <f t="shared" si="33"/>
        <v>#N/A</v>
      </c>
      <c r="M232" s="20" t="str">
        <f t="shared" si="34"/>
        <v/>
      </c>
      <c r="N232" s="21" t="str">
        <f t="shared" si="35"/>
        <v/>
      </c>
      <c r="O232" s="24"/>
      <c r="P232" s="24"/>
      <c r="T232" s="2" t="s">
        <v>141</v>
      </c>
      <c r="U232" s="82"/>
      <c r="V232" s="93">
        <f t="shared" si="37"/>
        <v>0</v>
      </c>
      <c r="W232" s="47" t="str">
        <f t="shared" si="38"/>
        <v>0</v>
      </c>
      <c r="X232" s="59">
        <f t="shared" si="39"/>
        <v>0</v>
      </c>
    </row>
    <row r="233" spans="1:24" x14ac:dyDescent="0.25">
      <c r="A233" s="22">
        <v>231</v>
      </c>
      <c r="B233" s="18"/>
      <c r="C233" s="19"/>
      <c r="D233" s="19"/>
      <c r="E233" s="87"/>
      <c r="F233" s="24"/>
      <c r="G233" s="4"/>
      <c r="H233" s="4" t="e">
        <f t="shared" si="30"/>
        <v>#N/A</v>
      </c>
      <c r="I233" s="4" t="str">
        <f t="shared" si="31"/>
        <v>00</v>
      </c>
      <c r="J233" s="4" t="str">
        <f t="shared" si="32"/>
        <v>00</v>
      </c>
      <c r="K233" s="14" t="e">
        <f t="shared" si="36"/>
        <v>#N/A</v>
      </c>
      <c r="L233" s="17" t="e">
        <f t="shared" si="33"/>
        <v>#N/A</v>
      </c>
      <c r="M233" s="20" t="str">
        <f t="shared" si="34"/>
        <v/>
      </c>
      <c r="N233" s="21" t="str">
        <f t="shared" si="35"/>
        <v/>
      </c>
      <c r="O233" s="24"/>
      <c r="P233" s="24"/>
      <c r="T233" s="2" t="s">
        <v>141</v>
      </c>
      <c r="U233" s="82"/>
      <c r="V233" s="93">
        <f t="shared" si="37"/>
        <v>0</v>
      </c>
      <c r="W233" s="47" t="str">
        <f t="shared" si="38"/>
        <v>0</v>
      </c>
      <c r="X233" s="59">
        <f t="shared" si="39"/>
        <v>0</v>
      </c>
    </row>
    <row r="234" spans="1:24" x14ac:dyDescent="0.25">
      <c r="A234" s="22">
        <v>232</v>
      </c>
      <c r="B234" s="18"/>
      <c r="C234" s="19"/>
      <c r="D234" s="19"/>
      <c r="E234" s="87"/>
      <c r="F234" s="24"/>
      <c r="G234" s="4"/>
      <c r="H234" s="4" t="e">
        <f t="shared" si="30"/>
        <v>#N/A</v>
      </c>
      <c r="I234" s="4" t="str">
        <f t="shared" si="31"/>
        <v>00</v>
      </c>
      <c r="J234" s="4" t="str">
        <f t="shared" si="32"/>
        <v>00</v>
      </c>
      <c r="K234" s="14" t="e">
        <f t="shared" si="36"/>
        <v>#N/A</v>
      </c>
      <c r="L234" s="17" t="e">
        <f t="shared" si="33"/>
        <v>#N/A</v>
      </c>
      <c r="M234" s="20" t="str">
        <f t="shared" si="34"/>
        <v/>
      </c>
      <c r="N234" s="21" t="str">
        <f t="shared" si="35"/>
        <v/>
      </c>
      <c r="O234" s="24"/>
      <c r="P234" s="24"/>
      <c r="T234" s="2" t="s">
        <v>141</v>
      </c>
      <c r="U234" s="82"/>
      <c r="V234" s="93">
        <f t="shared" si="37"/>
        <v>0</v>
      </c>
      <c r="W234" s="47" t="str">
        <f t="shared" si="38"/>
        <v>0</v>
      </c>
      <c r="X234" s="59">
        <f t="shared" si="39"/>
        <v>0</v>
      </c>
    </row>
    <row r="235" spans="1:24" x14ac:dyDescent="0.25">
      <c r="A235" s="22">
        <v>233</v>
      </c>
      <c r="B235" s="18"/>
      <c r="C235" s="19"/>
      <c r="D235" s="19"/>
      <c r="E235" s="87"/>
      <c r="F235" s="24"/>
      <c r="G235" s="4"/>
      <c r="H235" s="4" t="e">
        <f t="shared" si="30"/>
        <v>#N/A</v>
      </c>
      <c r="I235" s="4" t="str">
        <f t="shared" si="31"/>
        <v>00</v>
      </c>
      <c r="J235" s="4" t="str">
        <f t="shared" si="32"/>
        <v>00</v>
      </c>
      <c r="K235" s="14" t="e">
        <f t="shared" si="36"/>
        <v>#N/A</v>
      </c>
      <c r="L235" s="17" t="e">
        <f t="shared" si="33"/>
        <v>#N/A</v>
      </c>
      <c r="M235" s="20" t="str">
        <f t="shared" si="34"/>
        <v/>
      </c>
      <c r="N235" s="21" t="str">
        <f t="shared" si="35"/>
        <v/>
      </c>
      <c r="O235" s="24"/>
      <c r="P235" s="24"/>
      <c r="T235" s="2" t="s">
        <v>141</v>
      </c>
      <c r="U235" s="82"/>
      <c r="V235" s="93">
        <f t="shared" si="37"/>
        <v>0</v>
      </c>
      <c r="W235" s="47" t="str">
        <f t="shared" si="38"/>
        <v>0</v>
      </c>
      <c r="X235" s="59">
        <f t="shared" si="39"/>
        <v>0</v>
      </c>
    </row>
    <row r="236" spans="1:24" x14ac:dyDescent="0.25">
      <c r="A236" s="22">
        <v>234</v>
      </c>
      <c r="B236" s="18"/>
      <c r="C236" s="19"/>
      <c r="D236" s="19"/>
      <c r="E236" s="87"/>
      <c r="F236" s="24"/>
      <c r="G236" s="4"/>
      <c r="H236" s="4" t="e">
        <f t="shared" si="30"/>
        <v>#N/A</v>
      </c>
      <c r="I236" s="4" t="str">
        <f t="shared" si="31"/>
        <v>00</v>
      </c>
      <c r="J236" s="4" t="str">
        <f t="shared" si="32"/>
        <v>00</v>
      </c>
      <c r="K236" s="14" t="e">
        <f t="shared" si="36"/>
        <v>#N/A</v>
      </c>
      <c r="L236" s="17" t="e">
        <f t="shared" si="33"/>
        <v>#N/A</v>
      </c>
      <c r="M236" s="20" t="str">
        <f t="shared" si="34"/>
        <v/>
      </c>
      <c r="N236" s="21" t="str">
        <f t="shared" si="35"/>
        <v/>
      </c>
      <c r="O236" s="24"/>
      <c r="P236" s="24"/>
      <c r="T236" s="2" t="s">
        <v>141</v>
      </c>
      <c r="U236" s="82"/>
      <c r="V236" s="93">
        <f t="shared" si="37"/>
        <v>0</v>
      </c>
      <c r="W236" s="47" t="str">
        <f t="shared" si="38"/>
        <v>0</v>
      </c>
      <c r="X236" s="59">
        <f t="shared" si="39"/>
        <v>0</v>
      </c>
    </row>
    <row r="237" spans="1:24" x14ac:dyDescent="0.25">
      <c r="A237" s="22">
        <v>235</v>
      </c>
      <c r="B237" s="18"/>
      <c r="C237" s="19"/>
      <c r="D237" s="19"/>
      <c r="E237" s="87"/>
      <c r="F237" s="24"/>
      <c r="G237" s="4"/>
      <c r="H237" s="4" t="e">
        <f t="shared" si="30"/>
        <v>#N/A</v>
      </c>
      <c r="I237" s="4" t="str">
        <f t="shared" si="31"/>
        <v>00</v>
      </c>
      <c r="J237" s="4" t="str">
        <f t="shared" si="32"/>
        <v>00</v>
      </c>
      <c r="K237" s="14" t="e">
        <f t="shared" si="36"/>
        <v>#N/A</v>
      </c>
      <c r="L237" s="17" t="e">
        <f t="shared" si="33"/>
        <v>#N/A</v>
      </c>
      <c r="M237" s="20" t="str">
        <f t="shared" si="34"/>
        <v/>
      </c>
      <c r="N237" s="21" t="str">
        <f t="shared" si="35"/>
        <v/>
      </c>
      <c r="O237" s="24"/>
      <c r="P237" s="24"/>
      <c r="T237" s="2" t="s">
        <v>141</v>
      </c>
      <c r="U237" s="82"/>
      <c r="V237" s="93">
        <f t="shared" si="37"/>
        <v>0</v>
      </c>
      <c r="W237" s="47" t="str">
        <f t="shared" si="38"/>
        <v>0</v>
      </c>
      <c r="X237" s="59">
        <f t="shared" si="39"/>
        <v>0</v>
      </c>
    </row>
    <row r="238" spans="1:24" x14ac:dyDescent="0.25">
      <c r="A238" s="22">
        <v>236</v>
      </c>
      <c r="B238" s="18"/>
      <c r="C238" s="19"/>
      <c r="D238" s="19"/>
      <c r="E238" s="87"/>
      <c r="F238" s="24"/>
      <c r="G238" s="4"/>
      <c r="H238" s="4" t="e">
        <f t="shared" si="30"/>
        <v>#N/A</v>
      </c>
      <c r="I238" s="4" t="str">
        <f t="shared" si="31"/>
        <v>00</v>
      </c>
      <c r="J238" s="4" t="str">
        <f t="shared" si="32"/>
        <v>00</v>
      </c>
      <c r="K238" s="14" t="e">
        <f t="shared" si="36"/>
        <v>#N/A</v>
      </c>
      <c r="L238" s="17" t="e">
        <f t="shared" si="33"/>
        <v>#N/A</v>
      </c>
      <c r="M238" s="20" t="str">
        <f t="shared" si="34"/>
        <v/>
      </c>
      <c r="N238" s="21" t="str">
        <f t="shared" si="35"/>
        <v/>
      </c>
      <c r="O238" s="24"/>
      <c r="P238" s="24"/>
      <c r="T238" s="2" t="s">
        <v>141</v>
      </c>
      <c r="U238" s="82"/>
      <c r="V238" s="93">
        <f t="shared" si="37"/>
        <v>0</v>
      </c>
      <c r="W238" s="47" t="str">
        <f t="shared" si="38"/>
        <v>0</v>
      </c>
      <c r="X238" s="59">
        <f t="shared" si="39"/>
        <v>0</v>
      </c>
    </row>
    <row r="239" spans="1:24" x14ac:dyDescent="0.25">
      <c r="A239" s="22">
        <v>237</v>
      </c>
      <c r="B239" s="18"/>
      <c r="C239" s="19"/>
      <c r="D239" s="19"/>
      <c r="E239" s="87"/>
      <c r="F239" s="24"/>
      <c r="G239" s="4"/>
      <c r="H239" s="4" t="e">
        <f t="shared" si="30"/>
        <v>#N/A</v>
      </c>
      <c r="I239" s="4" t="str">
        <f t="shared" si="31"/>
        <v>00</v>
      </c>
      <c r="J239" s="4" t="str">
        <f t="shared" si="32"/>
        <v>00</v>
      </c>
      <c r="K239" s="14" t="e">
        <f t="shared" si="36"/>
        <v>#N/A</v>
      </c>
      <c r="L239" s="17" t="e">
        <f t="shared" si="33"/>
        <v>#N/A</v>
      </c>
      <c r="M239" s="20" t="str">
        <f t="shared" si="34"/>
        <v/>
      </c>
      <c r="N239" s="21" t="str">
        <f t="shared" si="35"/>
        <v/>
      </c>
      <c r="O239" s="24"/>
      <c r="P239" s="24"/>
      <c r="T239" s="2" t="s">
        <v>141</v>
      </c>
      <c r="U239" s="82"/>
      <c r="V239" s="93">
        <f t="shared" si="37"/>
        <v>0</v>
      </c>
      <c r="W239" s="47" t="str">
        <f t="shared" si="38"/>
        <v>0</v>
      </c>
      <c r="X239" s="59">
        <f t="shared" si="39"/>
        <v>0</v>
      </c>
    </row>
    <row r="240" spans="1:24" x14ac:dyDescent="0.25">
      <c r="A240" s="22">
        <v>238</v>
      </c>
      <c r="B240" s="18"/>
      <c r="C240" s="19"/>
      <c r="D240" s="19"/>
      <c r="E240" s="87"/>
      <c r="F240" s="24"/>
      <c r="G240" s="4"/>
      <c r="H240" s="4" t="e">
        <f t="shared" si="30"/>
        <v>#N/A</v>
      </c>
      <c r="I240" s="4" t="str">
        <f t="shared" si="31"/>
        <v>00</v>
      </c>
      <c r="J240" s="4" t="str">
        <f t="shared" si="32"/>
        <v>00</v>
      </c>
      <c r="K240" s="14" t="e">
        <f t="shared" si="36"/>
        <v>#N/A</v>
      </c>
      <c r="L240" s="17" t="e">
        <f t="shared" si="33"/>
        <v>#N/A</v>
      </c>
      <c r="M240" s="20" t="str">
        <f t="shared" si="34"/>
        <v/>
      </c>
      <c r="N240" s="21" t="str">
        <f t="shared" si="35"/>
        <v/>
      </c>
      <c r="O240" s="24"/>
      <c r="P240" s="24"/>
      <c r="T240" s="2" t="s">
        <v>141</v>
      </c>
      <c r="U240" s="82"/>
      <c r="V240" s="93">
        <f t="shared" si="37"/>
        <v>0</v>
      </c>
      <c r="W240" s="47" t="str">
        <f t="shared" si="38"/>
        <v>0</v>
      </c>
      <c r="X240" s="59">
        <f t="shared" si="39"/>
        <v>0</v>
      </c>
    </row>
    <row r="241" spans="1:24" x14ac:dyDescent="0.25">
      <c r="A241" s="22">
        <v>239</v>
      </c>
      <c r="B241" s="18"/>
      <c r="C241" s="19"/>
      <c r="D241" s="19"/>
      <c r="E241" s="87"/>
      <c r="F241" s="24"/>
      <c r="G241" s="4"/>
      <c r="H241" s="4" t="e">
        <f t="shared" si="30"/>
        <v>#N/A</v>
      </c>
      <c r="I241" s="4" t="str">
        <f t="shared" si="31"/>
        <v>00</v>
      </c>
      <c r="J241" s="4" t="str">
        <f t="shared" si="32"/>
        <v>00</v>
      </c>
      <c r="K241" s="14" t="e">
        <f t="shared" si="36"/>
        <v>#N/A</v>
      </c>
      <c r="L241" s="17" t="e">
        <f t="shared" si="33"/>
        <v>#N/A</v>
      </c>
      <c r="M241" s="20" t="str">
        <f t="shared" si="34"/>
        <v/>
      </c>
      <c r="N241" s="21" t="str">
        <f t="shared" si="35"/>
        <v/>
      </c>
      <c r="O241" s="24"/>
      <c r="P241" s="24"/>
      <c r="T241" s="2" t="s">
        <v>141</v>
      </c>
      <c r="U241" s="82"/>
      <c r="V241" s="93">
        <f t="shared" si="37"/>
        <v>0</v>
      </c>
      <c r="W241" s="47" t="str">
        <f t="shared" si="38"/>
        <v>0</v>
      </c>
      <c r="X241" s="59">
        <f t="shared" si="39"/>
        <v>0</v>
      </c>
    </row>
    <row r="242" spans="1:24" x14ac:dyDescent="0.25">
      <c r="A242" s="22">
        <v>240</v>
      </c>
      <c r="B242" s="18"/>
      <c r="C242" s="19"/>
      <c r="D242" s="19"/>
      <c r="E242" s="87"/>
      <c r="F242" s="24"/>
      <c r="G242" s="4"/>
      <c r="H242" s="4" t="e">
        <f t="shared" si="30"/>
        <v>#N/A</v>
      </c>
      <c r="I242" s="4" t="str">
        <f t="shared" si="31"/>
        <v>00</v>
      </c>
      <c r="J242" s="4" t="str">
        <f t="shared" si="32"/>
        <v>00</v>
      </c>
      <c r="K242" s="14" t="e">
        <f t="shared" si="36"/>
        <v>#N/A</v>
      </c>
      <c r="L242" s="17" t="e">
        <f t="shared" si="33"/>
        <v>#N/A</v>
      </c>
      <c r="M242" s="20" t="str">
        <f t="shared" si="34"/>
        <v/>
      </c>
      <c r="N242" s="21" t="str">
        <f t="shared" si="35"/>
        <v/>
      </c>
      <c r="O242" s="24"/>
      <c r="P242" s="24"/>
      <c r="T242" s="2" t="s">
        <v>141</v>
      </c>
      <c r="U242" s="82"/>
      <c r="V242" s="93">
        <f t="shared" si="37"/>
        <v>0</v>
      </c>
      <c r="W242" s="47" t="str">
        <f t="shared" si="38"/>
        <v>0</v>
      </c>
      <c r="X242" s="59">
        <f t="shared" si="39"/>
        <v>0</v>
      </c>
    </row>
    <row r="243" spans="1:24" x14ac:dyDescent="0.25">
      <c r="A243" s="22">
        <v>241</v>
      </c>
      <c r="B243" s="18"/>
      <c r="C243" s="19"/>
      <c r="D243" s="19"/>
      <c r="E243" s="87"/>
      <c r="F243" s="24"/>
      <c r="G243" s="4"/>
      <c r="H243" s="4" t="e">
        <f t="shared" si="30"/>
        <v>#N/A</v>
      </c>
      <c r="I243" s="4" t="str">
        <f t="shared" si="31"/>
        <v>00</v>
      </c>
      <c r="J243" s="4" t="str">
        <f t="shared" si="32"/>
        <v>00</v>
      </c>
      <c r="K243" s="14" t="e">
        <f t="shared" si="36"/>
        <v>#N/A</v>
      </c>
      <c r="L243" s="17" t="e">
        <f t="shared" si="33"/>
        <v>#N/A</v>
      </c>
      <c r="M243" s="20" t="str">
        <f t="shared" si="34"/>
        <v/>
      </c>
      <c r="N243" s="21" t="str">
        <f t="shared" si="35"/>
        <v/>
      </c>
      <c r="O243" s="24"/>
      <c r="P243" s="24"/>
      <c r="T243" s="2" t="s">
        <v>141</v>
      </c>
      <c r="U243" s="82"/>
      <c r="V243" s="93">
        <f t="shared" si="37"/>
        <v>0</v>
      </c>
      <c r="W243" s="47" t="str">
        <f t="shared" si="38"/>
        <v>0</v>
      </c>
      <c r="X243" s="59">
        <f t="shared" si="39"/>
        <v>0</v>
      </c>
    </row>
    <row r="244" spans="1:24" x14ac:dyDescent="0.25">
      <c r="A244" s="22">
        <v>242</v>
      </c>
      <c r="B244" s="18"/>
      <c r="C244" s="19"/>
      <c r="D244" s="19"/>
      <c r="E244" s="87"/>
      <c r="F244" s="24"/>
      <c r="G244" s="4"/>
      <c r="H244" s="4" t="e">
        <f t="shared" si="30"/>
        <v>#N/A</v>
      </c>
      <c r="I244" s="4" t="str">
        <f t="shared" si="31"/>
        <v>00</v>
      </c>
      <c r="J244" s="4" t="str">
        <f t="shared" si="32"/>
        <v>00</v>
      </c>
      <c r="K244" s="14" t="e">
        <f t="shared" si="36"/>
        <v>#N/A</v>
      </c>
      <c r="L244" s="17" t="e">
        <f t="shared" si="33"/>
        <v>#N/A</v>
      </c>
      <c r="M244" s="20" t="str">
        <f t="shared" si="34"/>
        <v/>
      </c>
      <c r="N244" s="21" t="str">
        <f t="shared" si="35"/>
        <v/>
      </c>
      <c r="O244" s="24"/>
      <c r="P244" s="24"/>
      <c r="T244" s="2" t="s">
        <v>141</v>
      </c>
      <c r="U244" s="82"/>
      <c r="V244" s="93">
        <f t="shared" si="37"/>
        <v>0</v>
      </c>
      <c r="W244" s="47" t="str">
        <f t="shared" si="38"/>
        <v>0</v>
      </c>
      <c r="X244" s="59">
        <f t="shared" si="39"/>
        <v>0</v>
      </c>
    </row>
    <row r="245" spans="1:24" x14ac:dyDescent="0.25">
      <c r="A245" s="22">
        <v>243</v>
      </c>
      <c r="B245" s="18"/>
      <c r="C245" s="19"/>
      <c r="D245" s="19"/>
      <c r="E245" s="87"/>
      <c r="F245" s="24"/>
      <c r="G245" s="4"/>
      <c r="H245" s="4" t="e">
        <f t="shared" si="30"/>
        <v>#N/A</v>
      </c>
      <c r="I245" s="4" t="str">
        <f t="shared" si="31"/>
        <v>00</v>
      </c>
      <c r="J245" s="4" t="str">
        <f t="shared" si="32"/>
        <v>00</v>
      </c>
      <c r="K245" s="14" t="e">
        <f t="shared" si="36"/>
        <v>#N/A</v>
      </c>
      <c r="L245" s="17" t="e">
        <f t="shared" si="33"/>
        <v>#N/A</v>
      </c>
      <c r="M245" s="20" t="str">
        <f t="shared" si="34"/>
        <v/>
      </c>
      <c r="N245" s="21" t="str">
        <f t="shared" si="35"/>
        <v/>
      </c>
      <c r="O245" s="24"/>
      <c r="P245" s="24"/>
      <c r="T245" s="2" t="s">
        <v>141</v>
      </c>
      <c r="U245" s="82"/>
      <c r="V245" s="93">
        <f t="shared" si="37"/>
        <v>0</v>
      </c>
      <c r="W245" s="47" t="str">
        <f t="shared" si="38"/>
        <v>0</v>
      </c>
      <c r="X245" s="59">
        <f t="shared" si="39"/>
        <v>0</v>
      </c>
    </row>
    <row r="246" spans="1:24" x14ac:dyDescent="0.25">
      <c r="A246" s="22">
        <v>244</v>
      </c>
      <c r="B246" s="18"/>
      <c r="C246" s="19"/>
      <c r="D246" s="19"/>
      <c r="E246" s="87"/>
      <c r="F246" s="24"/>
      <c r="G246" s="4"/>
      <c r="H246" s="4" t="e">
        <f t="shared" si="30"/>
        <v>#N/A</v>
      </c>
      <c r="I246" s="4" t="str">
        <f t="shared" si="31"/>
        <v>00</v>
      </c>
      <c r="J246" s="4" t="str">
        <f t="shared" si="32"/>
        <v>00</v>
      </c>
      <c r="K246" s="14" t="e">
        <f t="shared" si="36"/>
        <v>#N/A</v>
      </c>
      <c r="L246" s="17" t="e">
        <f t="shared" si="33"/>
        <v>#N/A</v>
      </c>
      <c r="M246" s="20" t="str">
        <f t="shared" si="34"/>
        <v/>
      </c>
      <c r="N246" s="21" t="str">
        <f t="shared" si="35"/>
        <v/>
      </c>
      <c r="O246" s="24"/>
      <c r="P246" s="24"/>
      <c r="T246" s="2" t="s">
        <v>141</v>
      </c>
      <c r="U246" s="82"/>
      <c r="V246" s="93">
        <f t="shared" si="37"/>
        <v>0</v>
      </c>
      <c r="W246" s="47" t="str">
        <f t="shared" si="38"/>
        <v>0</v>
      </c>
      <c r="X246" s="59">
        <f t="shared" si="39"/>
        <v>0</v>
      </c>
    </row>
    <row r="247" spans="1:24" x14ac:dyDescent="0.25">
      <c r="A247" s="22">
        <v>245</v>
      </c>
      <c r="B247" s="18"/>
      <c r="C247" s="19"/>
      <c r="D247" s="19"/>
      <c r="E247" s="87"/>
      <c r="F247" s="24"/>
      <c r="G247" s="4"/>
      <c r="H247" s="4" t="e">
        <f t="shared" si="30"/>
        <v>#N/A</v>
      </c>
      <c r="I247" s="4" t="str">
        <f t="shared" si="31"/>
        <v>00</v>
      </c>
      <c r="J247" s="4" t="str">
        <f t="shared" si="32"/>
        <v>00</v>
      </c>
      <c r="K247" s="14" t="e">
        <f t="shared" si="36"/>
        <v>#N/A</v>
      </c>
      <c r="L247" s="17" t="e">
        <f t="shared" si="33"/>
        <v>#N/A</v>
      </c>
      <c r="M247" s="20" t="str">
        <f t="shared" si="34"/>
        <v/>
      </c>
      <c r="N247" s="21" t="str">
        <f t="shared" si="35"/>
        <v/>
      </c>
      <c r="O247" s="24"/>
      <c r="P247" s="24"/>
      <c r="T247" s="2" t="s">
        <v>141</v>
      </c>
      <c r="U247" s="82"/>
      <c r="V247" s="93">
        <f t="shared" si="37"/>
        <v>0</v>
      </c>
      <c r="W247" s="47" t="str">
        <f t="shared" si="38"/>
        <v>0</v>
      </c>
      <c r="X247" s="59">
        <f t="shared" si="39"/>
        <v>0</v>
      </c>
    </row>
    <row r="248" spans="1:24" x14ac:dyDescent="0.25">
      <c r="A248" s="22">
        <v>246</v>
      </c>
      <c r="B248" s="18"/>
      <c r="C248" s="19"/>
      <c r="D248" s="19"/>
      <c r="E248" s="87"/>
      <c r="F248" s="24"/>
      <c r="G248" s="4"/>
      <c r="H248" s="4" t="e">
        <f t="shared" si="30"/>
        <v>#N/A</v>
      </c>
      <c r="I248" s="4" t="str">
        <f t="shared" si="31"/>
        <v>00</v>
      </c>
      <c r="J248" s="4" t="str">
        <f t="shared" si="32"/>
        <v>00</v>
      </c>
      <c r="K248" s="14" t="e">
        <f t="shared" si="36"/>
        <v>#N/A</v>
      </c>
      <c r="L248" s="17" t="e">
        <f t="shared" si="33"/>
        <v>#N/A</v>
      </c>
      <c r="M248" s="20" t="str">
        <f t="shared" si="34"/>
        <v/>
      </c>
      <c r="N248" s="21" t="str">
        <f t="shared" si="35"/>
        <v/>
      </c>
      <c r="O248" s="24"/>
      <c r="P248" s="24"/>
      <c r="T248" s="2" t="s">
        <v>141</v>
      </c>
      <c r="U248" s="82"/>
      <c r="V248" s="93">
        <f t="shared" si="37"/>
        <v>0</v>
      </c>
      <c r="W248" s="47" t="str">
        <f t="shared" si="38"/>
        <v>0</v>
      </c>
      <c r="X248" s="59">
        <f t="shared" si="39"/>
        <v>0</v>
      </c>
    </row>
    <row r="249" spans="1:24" x14ac:dyDescent="0.25">
      <c r="A249" s="22">
        <v>247</v>
      </c>
      <c r="B249" s="18"/>
      <c r="C249" s="19"/>
      <c r="D249" s="19"/>
      <c r="E249" s="87"/>
      <c r="F249" s="24"/>
      <c r="G249" s="4"/>
      <c r="H249" s="4" t="e">
        <f t="shared" si="30"/>
        <v>#N/A</v>
      </c>
      <c r="I249" s="4" t="str">
        <f t="shared" si="31"/>
        <v>00</v>
      </c>
      <c r="J249" s="4" t="str">
        <f t="shared" si="32"/>
        <v>00</v>
      </c>
      <c r="K249" s="14" t="e">
        <f t="shared" si="36"/>
        <v>#N/A</v>
      </c>
      <c r="L249" s="17" t="e">
        <f t="shared" si="33"/>
        <v>#N/A</v>
      </c>
      <c r="M249" s="20" t="str">
        <f t="shared" si="34"/>
        <v/>
      </c>
      <c r="N249" s="21" t="str">
        <f t="shared" si="35"/>
        <v/>
      </c>
      <c r="O249" s="24"/>
      <c r="P249" s="24"/>
      <c r="T249" s="2" t="s">
        <v>141</v>
      </c>
      <c r="U249" s="82"/>
      <c r="V249" s="93">
        <f t="shared" si="37"/>
        <v>0</v>
      </c>
      <c r="W249" s="47" t="str">
        <f t="shared" si="38"/>
        <v>0</v>
      </c>
      <c r="X249" s="59">
        <f t="shared" si="39"/>
        <v>0</v>
      </c>
    </row>
    <row r="250" spans="1:24" x14ac:dyDescent="0.25">
      <c r="A250" s="22">
        <v>248</v>
      </c>
      <c r="B250" s="18"/>
      <c r="C250" s="19"/>
      <c r="D250" s="19"/>
      <c r="E250" s="87"/>
      <c r="F250" s="24"/>
      <c r="G250" s="4"/>
      <c r="H250" s="4" t="e">
        <f t="shared" si="30"/>
        <v>#N/A</v>
      </c>
      <c r="I250" s="4" t="str">
        <f t="shared" si="31"/>
        <v>00</v>
      </c>
      <c r="J250" s="4" t="str">
        <f t="shared" si="32"/>
        <v>00</v>
      </c>
      <c r="K250" s="14" t="e">
        <f t="shared" si="36"/>
        <v>#N/A</v>
      </c>
      <c r="L250" s="17" t="e">
        <f t="shared" si="33"/>
        <v>#N/A</v>
      </c>
      <c r="M250" s="20" t="str">
        <f t="shared" si="34"/>
        <v/>
      </c>
      <c r="N250" s="21" t="str">
        <f t="shared" si="35"/>
        <v/>
      </c>
      <c r="O250" s="24"/>
      <c r="P250" s="24"/>
      <c r="T250" s="2" t="s">
        <v>141</v>
      </c>
      <c r="U250" s="82"/>
      <c r="V250" s="93">
        <f t="shared" si="37"/>
        <v>0</v>
      </c>
      <c r="W250" s="47" t="str">
        <f t="shared" si="38"/>
        <v>0</v>
      </c>
      <c r="X250" s="59">
        <f t="shared" si="39"/>
        <v>0</v>
      </c>
    </row>
    <row r="251" spans="1:24" x14ac:dyDescent="0.25">
      <c r="A251" s="22">
        <v>249</v>
      </c>
      <c r="B251" s="18"/>
      <c r="C251" s="19"/>
      <c r="D251" s="19"/>
      <c r="E251" s="87"/>
      <c r="F251" s="24"/>
      <c r="G251" s="4"/>
      <c r="H251" s="4" t="e">
        <f t="shared" si="30"/>
        <v>#N/A</v>
      </c>
      <c r="I251" s="4" t="str">
        <f t="shared" si="31"/>
        <v>00</v>
      </c>
      <c r="J251" s="4" t="str">
        <f t="shared" si="32"/>
        <v>00</v>
      </c>
      <c r="K251" s="14" t="e">
        <f t="shared" si="36"/>
        <v>#N/A</v>
      </c>
      <c r="L251" s="17" t="e">
        <f t="shared" si="33"/>
        <v>#N/A</v>
      </c>
      <c r="M251" s="20" t="str">
        <f t="shared" si="34"/>
        <v/>
      </c>
      <c r="N251" s="21" t="str">
        <f t="shared" si="35"/>
        <v/>
      </c>
      <c r="O251" s="24"/>
      <c r="P251" s="24"/>
      <c r="T251" s="2" t="s">
        <v>141</v>
      </c>
      <c r="U251" s="82"/>
      <c r="V251" s="93">
        <f t="shared" si="37"/>
        <v>0</v>
      </c>
      <c r="W251" s="47" t="str">
        <f t="shared" si="38"/>
        <v>0</v>
      </c>
      <c r="X251" s="59">
        <f t="shared" si="39"/>
        <v>0</v>
      </c>
    </row>
    <row r="252" spans="1:24" x14ac:dyDescent="0.25">
      <c r="A252" s="22">
        <v>250</v>
      </c>
      <c r="B252" s="18"/>
      <c r="C252" s="19"/>
      <c r="D252" s="19"/>
      <c r="E252" s="87"/>
      <c r="F252" s="24"/>
      <c r="G252" s="4"/>
      <c r="H252" s="4" t="e">
        <f t="shared" si="30"/>
        <v>#N/A</v>
      </c>
      <c r="I252" s="4" t="str">
        <f t="shared" si="31"/>
        <v>00</v>
      </c>
      <c r="J252" s="4" t="str">
        <f t="shared" si="32"/>
        <v>00</v>
      </c>
      <c r="K252" s="14" t="e">
        <f t="shared" si="36"/>
        <v>#N/A</v>
      </c>
      <c r="L252" s="17" t="e">
        <f t="shared" si="33"/>
        <v>#N/A</v>
      </c>
      <c r="M252" s="20" t="str">
        <f t="shared" si="34"/>
        <v/>
      </c>
      <c r="N252" s="21" t="str">
        <f t="shared" si="35"/>
        <v/>
      </c>
      <c r="O252" s="24"/>
      <c r="P252" s="24"/>
      <c r="T252" s="2" t="s">
        <v>141</v>
      </c>
      <c r="U252" s="82"/>
      <c r="V252" s="93">
        <f t="shared" si="37"/>
        <v>0</v>
      </c>
      <c r="W252" s="47" t="str">
        <f t="shared" si="38"/>
        <v>0</v>
      </c>
      <c r="X252" s="59">
        <f t="shared" si="39"/>
        <v>0</v>
      </c>
    </row>
    <row r="253" spans="1:24" x14ac:dyDescent="0.25">
      <c r="A253" s="22">
        <v>251</v>
      </c>
      <c r="B253" s="18"/>
      <c r="C253" s="19"/>
      <c r="D253" s="19"/>
      <c r="E253" s="19"/>
      <c r="F253" s="24"/>
      <c r="G253" s="4"/>
      <c r="H253" s="4" t="e">
        <f t="shared" si="30"/>
        <v>#N/A</v>
      </c>
      <c r="I253" s="4" t="str">
        <f t="shared" si="31"/>
        <v>00</v>
      </c>
      <c r="J253" s="4" t="str">
        <f t="shared" si="32"/>
        <v>00</v>
      </c>
      <c r="K253" s="14" t="e">
        <f t="shared" si="36"/>
        <v>#N/A</v>
      </c>
      <c r="L253" s="17" t="e">
        <f t="shared" si="33"/>
        <v>#N/A</v>
      </c>
      <c r="M253" s="20" t="str">
        <f t="shared" si="34"/>
        <v/>
      </c>
      <c r="N253" s="21" t="str">
        <f t="shared" si="35"/>
        <v/>
      </c>
      <c r="O253" s="24"/>
      <c r="P253" s="24"/>
      <c r="T253" s="2" t="s">
        <v>141</v>
      </c>
      <c r="U253" s="82"/>
      <c r="V253" s="93">
        <f t="shared" si="37"/>
        <v>0</v>
      </c>
      <c r="W253" s="47" t="str">
        <f t="shared" si="38"/>
        <v>0</v>
      </c>
      <c r="X253" s="59">
        <f t="shared" si="39"/>
        <v>0</v>
      </c>
    </row>
    <row r="254" spans="1:24" x14ac:dyDescent="0.25">
      <c r="A254" s="22">
        <v>252</v>
      </c>
      <c r="B254" s="18"/>
      <c r="C254" s="19"/>
      <c r="D254" s="19"/>
      <c r="E254" s="19"/>
      <c r="F254" s="24"/>
      <c r="G254" s="4"/>
      <c r="H254" s="4" t="e">
        <f t="shared" si="30"/>
        <v>#N/A</v>
      </c>
      <c r="I254" s="4" t="str">
        <f t="shared" si="31"/>
        <v>00</v>
      </c>
      <c r="J254" s="4" t="str">
        <f t="shared" si="32"/>
        <v>00</v>
      </c>
      <c r="K254" s="14" t="e">
        <f t="shared" si="36"/>
        <v>#N/A</v>
      </c>
      <c r="L254" s="17" t="e">
        <f t="shared" si="33"/>
        <v>#N/A</v>
      </c>
      <c r="M254" s="20" t="str">
        <f t="shared" si="34"/>
        <v/>
      </c>
      <c r="N254" s="21" t="str">
        <f t="shared" si="35"/>
        <v/>
      </c>
      <c r="O254" s="24"/>
      <c r="P254" s="24"/>
      <c r="T254" s="2" t="s">
        <v>141</v>
      </c>
      <c r="U254" s="82"/>
      <c r="V254" s="93">
        <f t="shared" si="37"/>
        <v>0</v>
      </c>
      <c r="W254" s="47" t="str">
        <f t="shared" si="38"/>
        <v>0</v>
      </c>
      <c r="X254" s="59">
        <f t="shared" si="39"/>
        <v>0</v>
      </c>
    </row>
    <row r="255" spans="1:24" x14ac:dyDescent="0.25">
      <c r="A255" s="22">
        <v>253</v>
      </c>
      <c r="B255" s="18"/>
      <c r="C255" s="19"/>
      <c r="D255" s="19"/>
      <c r="E255" s="19"/>
      <c r="F255" s="24"/>
      <c r="G255" s="4"/>
      <c r="H255" s="4" t="e">
        <f t="shared" si="30"/>
        <v>#N/A</v>
      </c>
      <c r="I255" s="4" t="str">
        <f t="shared" si="31"/>
        <v>00</v>
      </c>
      <c r="J255" s="4" t="str">
        <f t="shared" si="32"/>
        <v>00</v>
      </c>
      <c r="K255" s="14" t="e">
        <f t="shared" si="36"/>
        <v>#N/A</v>
      </c>
      <c r="L255" s="17" t="e">
        <f t="shared" si="33"/>
        <v>#N/A</v>
      </c>
      <c r="M255" s="20" t="str">
        <f t="shared" si="34"/>
        <v/>
      </c>
      <c r="N255" s="21" t="str">
        <f t="shared" si="35"/>
        <v/>
      </c>
      <c r="O255" s="24"/>
      <c r="P255" s="24"/>
      <c r="T255" s="2" t="s">
        <v>141</v>
      </c>
      <c r="U255" s="82"/>
      <c r="V255" s="93">
        <f t="shared" si="37"/>
        <v>0</v>
      </c>
      <c r="W255" s="47" t="str">
        <f t="shared" si="38"/>
        <v>0</v>
      </c>
      <c r="X255" s="59">
        <f t="shared" si="39"/>
        <v>0</v>
      </c>
    </row>
    <row r="256" spans="1:24" x14ac:dyDescent="0.25">
      <c r="A256" s="22">
        <v>254</v>
      </c>
      <c r="B256" s="18"/>
      <c r="C256" s="19"/>
      <c r="D256" s="19"/>
      <c r="E256" s="19"/>
      <c r="F256" s="24"/>
      <c r="G256" s="4"/>
      <c r="H256" s="4" t="e">
        <f t="shared" si="30"/>
        <v>#N/A</v>
      </c>
      <c r="I256" s="4" t="str">
        <f t="shared" si="31"/>
        <v>00</v>
      </c>
      <c r="J256" s="4" t="str">
        <f t="shared" si="32"/>
        <v>00</v>
      </c>
      <c r="K256" s="14" t="e">
        <f t="shared" si="36"/>
        <v>#N/A</v>
      </c>
      <c r="L256" s="17" t="e">
        <f t="shared" si="33"/>
        <v>#N/A</v>
      </c>
      <c r="M256" s="20" t="str">
        <f t="shared" si="34"/>
        <v/>
      </c>
      <c r="N256" s="21" t="str">
        <f t="shared" si="35"/>
        <v/>
      </c>
      <c r="O256" s="24"/>
      <c r="P256" s="24"/>
      <c r="T256" s="2" t="s">
        <v>141</v>
      </c>
      <c r="U256" s="82"/>
      <c r="V256" s="93">
        <f t="shared" si="37"/>
        <v>0</v>
      </c>
      <c r="W256" s="47" t="str">
        <f t="shared" si="38"/>
        <v>0</v>
      </c>
      <c r="X256" s="59">
        <f t="shared" si="39"/>
        <v>0</v>
      </c>
    </row>
    <row r="257" spans="1:24" x14ac:dyDescent="0.25">
      <c r="A257" s="26">
        <v>255</v>
      </c>
      <c r="B257" s="27"/>
      <c r="C257" s="28"/>
      <c r="D257" s="28"/>
      <c r="E257" s="28"/>
      <c r="F257" s="29"/>
      <c r="G257" s="30"/>
      <c r="H257" s="4" t="e">
        <f t="shared" si="30"/>
        <v>#N/A</v>
      </c>
      <c r="I257" s="4" t="str">
        <f t="shared" si="31"/>
        <v>00</v>
      </c>
      <c r="J257" s="4" t="str">
        <f t="shared" si="32"/>
        <v>00</v>
      </c>
      <c r="K257" s="31" t="e">
        <f t="shared" si="36"/>
        <v>#N/A</v>
      </c>
      <c r="L257" s="32" t="e">
        <f t="shared" si="33"/>
        <v>#N/A</v>
      </c>
      <c r="M257" s="33" t="str">
        <f t="shared" si="34"/>
        <v/>
      </c>
      <c r="N257" s="21" t="str">
        <f t="shared" si="35"/>
        <v/>
      </c>
      <c r="O257" s="29"/>
      <c r="P257" s="29"/>
      <c r="T257" s="2" t="s">
        <v>141</v>
      </c>
      <c r="U257" s="91"/>
      <c r="V257" s="94">
        <f t="shared" si="37"/>
        <v>0</v>
      </c>
      <c r="W257" s="47" t="str">
        <f t="shared" si="38"/>
        <v>0</v>
      </c>
      <c r="X257" s="59">
        <f t="shared" si="39"/>
        <v>0</v>
      </c>
    </row>
    <row r="258" spans="1:24" x14ac:dyDescent="0.25">
      <c r="A258" s="22"/>
      <c r="B258" s="18"/>
      <c r="C258" s="19"/>
      <c r="D258" s="19"/>
      <c r="E258" s="19"/>
      <c r="F258" s="24"/>
      <c r="G258" s="4"/>
      <c r="H258" s="4" t="e">
        <f t="shared" si="30"/>
        <v>#N/A</v>
      </c>
      <c r="I258" s="4" t="str">
        <f t="shared" si="31"/>
        <v>00</v>
      </c>
      <c r="J258" s="4" t="str">
        <f t="shared" si="32"/>
        <v>00</v>
      </c>
      <c r="K258" s="14" t="e">
        <f t="shared" si="36"/>
        <v>#N/A</v>
      </c>
      <c r="L258" s="17" t="e">
        <f t="shared" si="33"/>
        <v>#N/A</v>
      </c>
      <c r="M258" s="20" t="str">
        <f t="shared" si="34"/>
        <v/>
      </c>
      <c r="N258" s="21" t="str">
        <f t="shared" si="35"/>
        <v/>
      </c>
      <c r="O258" s="24"/>
      <c r="P258" s="24"/>
      <c r="Q258" s="43"/>
      <c r="R258" s="44"/>
      <c r="S258" s="3"/>
      <c r="T258" s="3" t="s">
        <v>141</v>
      </c>
      <c r="U258" s="82"/>
      <c r="V258" s="93">
        <f t="shared" si="37"/>
        <v>0</v>
      </c>
      <c r="W258" s="47" t="str">
        <f t="shared" si="38"/>
        <v>0</v>
      </c>
      <c r="X258" s="59">
        <f t="shared" si="39"/>
        <v>0</v>
      </c>
    </row>
    <row r="259" spans="1:24" s="41" customFormat="1" x14ac:dyDescent="0.25">
      <c r="A259" s="34"/>
      <c r="B259" s="35"/>
      <c r="C259" s="36"/>
      <c r="D259" s="36"/>
      <c r="E259" s="25"/>
      <c r="F259" s="34"/>
      <c r="G259" s="37"/>
      <c r="H259" s="38"/>
      <c r="I259" s="37"/>
      <c r="J259" s="37"/>
      <c r="K259" s="39"/>
      <c r="L259" s="40"/>
      <c r="M259" s="40"/>
      <c r="O259" s="34"/>
      <c r="P259" s="34"/>
      <c r="Q259" s="40"/>
      <c r="R259" s="42"/>
      <c r="T259" s="41" t="s">
        <v>141</v>
      </c>
      <c r="U259" s="38"/>
      <c r="V259" s="93"/>
      <c r="W259" s="47"/>
      <c r="X259" s="59"/>
    </row>
    <row r="260" spans="1:24" s="41" customFormat="1" x14ac:dyDescent="0.25">
      <c r="A260" s="34"/>
      <c r="B260" s="35"/>
      <c r="C260" s="36"/>
      <c r="D260" s="36"/>
      <c r="E260" s="25"/>
      <c r="F260" s="34"/>
      <c r="G260" s="37"/>
      <c r="H260" s="38"/>
      <c r="I260" s="37"/>
      <c r="J260" s="37"/>
      <c r="K260" s="39"/>
      <c r="L260" s="40"/>
      <c r="M260" s="40"/>
      <c r="O260" s="34"/>
      <c r="P260" s="34"/>
      <c r="Q260" s="40"/>
      <c r="R260" s="42"/>
      <c r="T260" s="41" t="s">
        <v>141</v>
      </c>
      <c r="U260" s="38"/>
      <c r="V260" s="95"/>
    </row>
    <row r="261" spans="1:24" s="41" customFormat="1" x14ac:dyDescent="0.25">
      <c r="A261" s="34"/>
      <c r="B261" s="35"/>
      <c r="C261" s="36"/>
      <c r="D261" s="36"/>
      <c r="E261" s="25"/>
      <c r="F261" s="34"/>
      <c r="G261" s="37"/>
      <c r="H261" s="38"/>
      <c r="I261" s="37"/>
      <c r="J261" s="37"/>
      <c r="K261" s="39"/>
      <c r="L261" s="40"/>
      <c r="M261" s="40"/>
      <c r="O261" s="34"/>
      <c r="P261" s="34"/>
      <c r="Q261" s="40"/>
      <c r="R261" s="42"/>
      <c r="T261" s="41" t="s">
        <v>141</v>
      </c>
      <c r="U261" s="38"/>
      <c r="V261" s="95"/>
    </row>
    <row r="262" spans="1:24" s="41" customFormat="1" x14ac:dyDescent="0.25">
      <c r="A262" s="34"/>
      <c r="B262" s="35"/>
      <c r="C262" s="36"/>
      <c r="D262" s="36"/>
      <c r="E262" s="25"/>
      <c r="F262" s="34"/>
      <c r="G262" s="37"/>
      <c r="H262" s="38"/>
      <c r="I262" s="37"/>
      <c r="J262" s="37"/>
      <c r="K262" s="39"/>
      <c r="L262" s="40"/>
      <c r="M262" s="40"/>
      <c r="O262" s="34"/>
      <c r="P262" s="34"/>
      <c r="Q262" s="40"/>
      <c r="R262" s="42"/>
      <c r="T262" s="41" t="s">
        <v>141</v>
      </c>
      <c r="U262" s="38"/>
      <c r="V262" s="95"/>
    </row>
    <row r="263" spans="1:24" s="41" customFormat="1" x14ac:dyDescent="0.25">
      <c r="A263" s="34"/>
      <c r="B263" s="35"/>
      <c r="C263" s="36"/>
      <c r="D263" s="36"/>
      <c r="E263" s="25"/>
      <c r="F263" s="34"/>
      <c r="G263" s="37"/>
      <c r="H263" s="38"/>
      <c r="I263" s="37"/>
      <c r="J263" s="37"/>
      <c r="K263" s="39"/>
      <c r="L263" s="40"/>
      <c r="M263" s="40"/>
      <c r="O263" s="34"/>
      <c r="P263" s="34"/>
      <c r="Q263" s="40"/>
      <c r="R263" s="42"/>
      <c r="T263" s="41" t="s">
        <v>141</v>
      </c>
      <c r="U263" s="38"/>
      <c r="V263" s="95"/>
    </row>
    <row r="264" spans="1:24" s="41" customFormat="1" x14ac:dyDescent="0.25">
      <c r="A264" s="34"/>
      <c r="B264" s="35"/>
      <c r="C264" s="36"/>
      <c r="D264" s="36"/>
      <c r="E264" s="25"/>
      <c r="F264" s="34"/>
      <c r="G264" s="37"/>
      <c r="H264" s="38"/>
      <c r="I264" s="37"/>
      <c r="J264" s="37"/>
      <c r="K264" s="39"/>
      <c r="L264" s="40"/>
      <c r="M264" s="40"/>
      <c r="O264" s="34"/>
      <c r="P264" s="34"/>
      <c r="Q264" s="40"/>
      <c r="R264" s="42"/>
      <c r="T264" s="41" t="s">
        <v>141</v>
      </c>
      <c r="U264" s="38"/>
      <c r="V264" s="95"/>
    </row>
    <row r="265" spans="1:24" s="41" customFormat="1" x14ac:dyDescent="0.25">
      <c r="A265" s="34"/>
      <c r="B265" s="35"/>
      <c r="C265" s="36"/>
      <c r="D265" s="36"/>
      <c r="E265" s="25"/>
      <c r="F265" s="34"/>
      <c r="G265" s="37"/>
      <c r="H265" s="38"/>
      <c r="I265" s="37"/>
      <c r="J265" s="37"/>
      <c r="K265" s="39"/>
      <c r="L265" s="40"/>
      <c r="M265" s="40"/>
      <c r="O265" s="34"/>
      <c r="P265" s="34"/>
      <c r="Q265" s="40"/>
      <c r="R265" s="42"/>
      <c r="T265" s="41" t="s">
        <v>141</v>
      </c>
      <c r="U265" s="38"/>
      <c r="V265" s="95"/>
    </row>
    <row r="266" spans="1:24" s="41" customFormat="1" x14ac:dyDescent="0.25">
      <c r="A266" s="34"/>
      <c r="B266" s="35"/>
      <c r="C266" s="36"/>
      <c r="D266" s="36"/>
      <c r="E266" s="25"/>
      <c r="F266" s="34"/>
      <c r="G266" s="37"/>
      <c r="H266" s="38"/>
      <c r="I266" s="37"/>
      <c r="J266" s="37"/>
      <c r="K266" s="39"/>
      <c r="L266" s="40"/>
      <c r="M266" s="40"/>
      <c r="O266" s="34"/>
      <c r="P266" s="34"/>
      <c r="Q266" s="40"/>
      <c r="R266" s="42"/>
      <c r="T266" s="41" t="s">
        <v>141</v>
      </c>
      <c r="U266" s="38"/>
      <c r="V266" s="95"/>
    </row>
    <row r="267" spans="1:24" s="41" customFormat="1" x14ac:dyDescent="0.25">
      <c r="A267" s="34"/>
      <c r="B267" s="35"/>
      <c r="C267" s="36"/>
      <c r="D267" s="36"/>
      <c r="E267" s="25"/>
      <c r="F267" s="34"/>
      <c r="G267" s="37"/>
      <c r="H267" s="38"/>
      <c r="I267" s="37"/>
      <c r="J267" s="37"/>
      <c r="K267" s="39"/>
      <c r="L267" s="40"/>
      <c r="M267" s="40"/>
      <c r="O267" s="34"/>
      <c r="P267" s="34"/>
      <c r="Q267" s="40"/>
      <c r="R267" s="42"/>
      <c r="T267" s="41" t="s">
        <v>141</v>
      </c>
      <c r="U267" s="38"/>
      <c r="V267" s="95"/>
    </row>
    <row r="268" spans="1:24" s="41" customFormat="1" x14ac:dyDescent="0.25">
      <c r="A268" s="34"/>
      <c r="B268" s="35"/>
      <c r="C268" s="36"/>
      <c r="D268" s="36"/>
      <c r="E268" s="25"/>
      <c r="F268" s="34"/>
      <c r="G268" s="37"/>
      <c r="H268" s="38"/>
      <c r="I268" s="37"/>
      <c r="J268" s="37"/>
      <c r="K268" s="39"/>
      <c r="L268" s="40"/>
      <c r="M268" s="40"/>
      <c r="O268" s="34"/>
      <c r="P268" s="34"/>
      <c r="Q268" s="40"/>
      <c r="R268" s="42"/>
      <c r="T268" s="41" t="s">
        <v>141</v>
      </c>
      <c r="U268" s="38"/>
      <c r="V268" s="95"/>
    </row>
    <row r="269" spans="1:24" s="41" customFormat="1" x14ac:dyDescent="0.25">
      <c r="A269" s="34"/>
      <c r="B269" s="35"/>
      <c r="C269" s="36"/>
      <c r="D269" s="36"/>
      <c r="E269" s="25"/>
      <c r="F269" s="34"/>
      <c r="G269" s="37"/>
      <c r="H269" s="38"/>
      <c r="I269" s="37"/>
      <c r="J269" s="37"/>
      <c r="K269" s="39"/>
      <c r="L269" s="40"/>
      <c r="M269" s="40"/>
      <c r="O269" s="34"/>
      <c r="P269" s="34"/>
      <c r="Q269" s="40"/>
      <c r="R269" s="42"/>
      <c r="T269" s="41" t="s">
        <v>141</v>
      </c>
      <c r="U269" s="38"/>
      <c r="V269" s="95"/>
    </row>
    <row r="270" spans="1:24" s="41" customFormat="1" x14ac:dyDescent="0.25">
      <c r="A270" s="34"/>
      <c r="B270" s="35"/>
      <c r="C270" s="36"/>
      <c r="D270" s="36"/>
      <c r="E270" s="25"/>
      <c r="F270" s="34"/>
      <c r="G270" s="37"/>
      <c r="H270" s="38"/>
      <c r="I270" s="37"/>
      <c r="J270" s="37"/>
      <c r="K270" s="39"/>
      <c r="L270" s="40"/>
      <c r="M270" s="40"/>
      <c r="O270" s="34"/>
      <c r="P270" s="34"/>
      <c r="Q270" s="40"/>
      <c r="R270" s="42"/>
      <c r="T270" s="41" t="s">
        <v>141</v>
      </c>
      <c r="U270" s="38"/>
      <c r="V270" s="95"/>
    </row>
    <row r="271" spans="1:24" s="41" customFormat="1" x14ac:dyDescent="0.25">
      <c r="A271" s="34"/>
      <c r="B271" s="35"/>
      <c r="C271" s="36"/>
      <c r="D271" s="36"/>
      <c r="E271" s="25"/>
      <c r="F271" s="34"/>
      <c r="G271" s="37"/>
      <c r="H271" s="38"/>
      <c r="I271" s="37"/>
      <c r="J271" s="37"/>
      <c r="K271" s="39"/>
      <c r="L271" s="40"/>
      <c r="M271" s="40"/>
      <c r="O271" s="34"/>
      <c r="P271" s="34"/>
      <c r="Q271" s="40"/>
      <c r="R271" s="42"/>
      <c r="T271" s="41" t="s">
        <v>141</v>
      </c>
      <c r="U271" s="38"/>
      <c r="V271" s="95"/>
    </row>
    <row r="272" spans="1:24" s="41" customFormat="1" x14ac:dyDescent="0.25">
      <c r="A272" s="34"/>
      <c r="C272" s="38"/>
      <c r="D272" s="38"/>
      <c r="E272" s="38"/>
      <c r="F272" s="34"/>
      <c r="G272" s="37"/>
      <c r="H272" s="38"/>
      <c r="I272" s="37"/>
      <c r="J272" s="37"/>
      <c r="K272" s="39"/>
      <c r="L272" s="40"/>
      <c r="M272" s="40"/>
      <c r="O272" s="34"/>
      <c r="P272" s="34"/>
      <c r="Q272" s="40"/>
      <c r="R272" s="42"/>
      <c r="T272" s="41" t="s">
        <v>141</v>
      </c>
      <c r="U272" s="38"/>
      <c r="V272" s="95"/>
    </row>
    <row r="273" spans="20:20" x14ac:dyDescent="0.25">
      <c r="T273" s="2" t="s">
        <v>141</v>
      </c>
    </row>
    <row r="274" spans="20:20" x14ac:dyDescent="0.25">
      <c r="T274" s="2" t="s">
        <v>141</v>
      </c>
    </row>
    <row r="275" spans="20:20" x14ac:dyDescent="0.25">
      <c r="T275" s="2" t="s">
        <v>141</v>
      </c>
    </row>
    <row r="276" spans="20:20" x14ac:dyDescent="0.25">
      <c r="T276" s="2" t="s">
        <v>141</v>
      </c>
    </row>
    <row r="277" spans="20:20" x14ac:dyDescent="0.25">
      <c r="T277" s="2" t="s">
        <v>141</v>
      </c>
    </row>
    <row r="278" spans="20:20" x14ac:dyDescent="0.25">
      <c r="T278" s="2" t="s">
        <v>141</v>
      </c>
    </row>
    <row r="279" spans="20:20" x14ac:dyDescent="0.25">
      <c r="T279" s="2" t="s">
        <v>141</v>
      </c>
    </row>
    <row r="280" spans="20:20" x14ac:dyDescent="0.25">
      <c r="T280" s="2" t="s">
        <v>141</v>
      </c>
    </row>
    <row r="281" spans="20:20" x14ac:dyDescent="0.25">
      <c r="T281" s="2" t="s">
        <v>141</v>
      </c>
    </row>
    <row r="282" spans="20:20" x14ac:dyDescent="0.25">
      <c r="T282" s="2" t="s">
        <v>141</v>
      </c>
    </row>
    <row r="283" spans="20:20" x14ac:dyDescent="0.25">
      <c r="T283" s="2" t="s">
        <v>141</v>
      </c>
    </row>
    <row r="284" spans="20:20" x14ac:dyDescent="0.25">
      <c r="T284" s="2" t="s">
        <v>141</v>
      </c>
    </row>
    <row r="285" spans="20:20" x14ac:dyDescent="0.25">
      <c r="T285" s="2" t="s">
        <v>141</v>
      </c>
    </row>
    <row r="286" spans="20:20" x14ac:dyDescent="0.25">
      <c r="T286" s="2" t="s">
        <v>141</v>
      </c>
    </row>
    <row r="287" spans="20:20" x14ac:dyDescent="0.25">
      <c r="T287" s="2" t="s">
        <v>141</v>
      </c>
    </row>
    <row r="288" spans="20:20" x14ac:dyDescent="0.25">
      <c r="T288" s="2" t="s">
        <v>141</v>
      </c>
    </row>
    <row r="289" spans="20:20" x14ac:dyDescent="0.25">
      <c r="T289" s="2" t="s">
        <v>141</v>
      </c>
    </row>
    <row r="290" spans="20:20" x14ac:dyDescent="0.25">
      <c r="T290" s="2" t="s">
        <v>141</v>
      </c>
    </row>
    <row r="291" spans="20:20" x14ac:dyDescent="0.25">
      <c r="T291" s="2" t="s">
        <v>141</v>
      </c>
    </row>
    <row r="292" spans="20:20" x14ac:dyDescent="0.25">
      <c r="T292" s="2" t="s">
        <v>141</v>
      </c>
    </row>
    <row r="293" spans="20:20" x14ac:dyDescent="0.25">
      <c r="T293" s="2" t="s">
        <v>141</v>
      </c>
    </row>
    <row r="294" spans="20:20" x14ac:dyDescent="0.25">
      <c r="T294" s="2" t="s">
        <v>141</v>
      </c>
    </row>
    <row r="295" spans="20:20" x14ac:dyDescent="0.25">
      <c r="T295" s="2" t="s">
        <v>141</v>
      </c>
    </row>
    <row r="296" spans="20:20" x14ac:dyDescent="0.25">
      <c r="T296" s="2" t="s">
        <v>141</v>
      </c>
    </row>
    <row r="297" spans="20:20" x14ac:dyDescent="0.25">
      <c r="T297" s="2" t="s">
        <v>141</v>
      </c>
    </row>
    <row r="298" spans="20:20" x14ac:dyDescent="0.25">
      <c r="T298" s="2" t="s">
        <v>141</v>
      </c>
    </row>
    <row r="299" spans="20:20" x14ac:dyDescent="0.25">
      <c r="T299" s="2" t="s">
        <v>141</v>
      </c>
    </row>
    <row r="300" spans="20:20" x14ac:dyDescent="0.25">
      <c r="T300" s="2" t="s">
        <v>141</v>
      </c>
    </row>
    <row r="301" spans="20:20" x14ac:dyDescent="0.25">
      <c r="T301" s="2" t="s">
        <v>141</v>
      </c>
    </row>
    <row r="302" spans="20:20" x14ac:dyDescent="0.25">
      <c r="T302" s="2" t="s">
        <v>141</v>
      </c>
    </row>
    <row r="303" spans="20:20" x14ac:dyDescent="0.25">
      <c r="T303" s="2" t="s">
        <v>141</v>
      </c>
    </row>
    <row r="304" spans="20:20" x14ac:dyDescent="0.25">
      <c r="T304" s="2" t="s">
        <v>141</v>
      </c>
    </row>
    <row r="305" spans="20:20" x14ac:dyDescent="0.25">
      <c r="T305" s="2" t="s">
        <v>141</v>
      </c>
    </row>
    <row r="306" spans="20:20" x14ac:dyDescent="0.25">
      <c r="T306" s="2" t="s">
        <v>141</v>
      </c>
    </row>
    <row r="307" spans="20:20" x14ac:dyDescent="0.25">
      <c r="T307" s="2" t="s">
        <v>141</v>
      </c>
    </row>
    <row r="308" spans="20:20" x14ac:dyDescent="0.25">
      <c r="T308" s="2" t="s">
        <v>141</v>
      </c>
    </row>
    <row r="309" spans="20:20" x14ac:dyDescent="0.25">
      <c r="T309" s="2" t="s">
        <v>141</v>
      </c>
    </row>
    <row r="310" spans="20:20" x14ac:dyDescent="0.25">
      <c r="T310" s="2" t="s">
        <v>141</v>
      </c>
    </row>
    <row r="311" spans="20:20" x14ac:dyDescent="0.25">
      <c r="T311" s="2" t="s">
        <v>141</v>
      </c>
    </row>
    <row r="312" spans="20:20" x14ac:dyDescent="0.25">
      <c r="T312" s="2" t="s">
        <v>141</v>
      </c>
    </row>
    <row r="313" spans="20:20" x14ac:dyDescent="0.25">
      <c r="T313" s="2" t="s">
        <v>141</v>
      </c>
    </row>
    <row r="314" spans="20:20" x14ac:dyDescent="0.25">
      <c r="T314" s="2" t="s">
        <v>141</v>
      </c>
    </row>
    <row r="315" spans="20:20" x14ac:dyDescent="0.25">
      <c r="T315" s="2" t="s">
        <v>141</v>
      </c>
    </row>
    <row r="316" spans="20:20" x14ac:dyDescent="0.25">
      <c r="T316" s="2" t="s">
        <v>141</v>
      </c>
    </row>
    <row r="317" spans="20:20" x14ac:dyDescent="0.25">
      <c r="T317" s="2" t="s">
        <v>141</v>
      </c>
    </row>
    <row r="318" spans="20:20" x14ac:dyDescent="0.25">
      <c r="T318" s="2" t="s">
        <v>141</v>
      </c>
    </row>
    <row r="319" spans="20:20" x14ac:dyDescent="0.25">
      <c r="T319" s="2" t="s">
        <v>141</v>
      </c>
    </row>
    <row r="320" spans="20:20" x14ac:dyDescent="0.25">
      <c r="T320" s="2" t="s">
        <v>141</v>
      </c>
    </row>
    <row r="321" spans="20:20" x14ac:dyDescent="0.25">
      <c r="T321" s="2" t="s">
        <v>141</v>
      </c>
    </row>
    <row r="322" spans="20:20" x14ac:dyDescent="0.25">
      <c r="T322" s="2" t="s">
        <v>141</v>
      </c>
    </row>
    <row r="323" spans="20:20" x14ac:dyDescent="0.25">
      <c r="T323" s="2" t="s">
        <v>141</v>
      </c>
    </row>
    <row r="324" spans="20:20" x14ac:dyDescent="0.25">
      <c r="T324" s="2" t="s">
        <v>141</v>
      </c>
    </row>
    <row r="325" spans="20:20" x14ac:dyDescent="0.25">
      <c r="T325" s="2" t="s">
        <v>141</v>
      </c>
    </row>
    <row r="326" spans="20:20" x14ac:dyDescent="0.25">
      <c r="T326" s="2" t="s">
        <v>141</v>
      </c>
    </row>
    <row r="327" spans="20:20" x14ac:dyDescent="0.25">
      <c r="T327" s="2" t="s">
        <v>141</v>
      </c>
    </row>
    <row r="328" spans="20:20" x14ac:dyDescent="0.25">
      <c r="T328" s="2" t="s">
        <v>141</v>
      </c>
    </row>
    <row r="329" spans="20:20" x14ac:dyDescent="0.25">
      <c r="T329" s="2" t="s">
        <v>141</v>
      </c>
    </row>
    <row r="330" spans="20:20" x14ac:dyDescent="0.25">
      <c r="T330" s="2" t="s">
        <v>141</v>
      </c>
    </row>
    <row r="331" spans="20:20" x14ac:dyDescent="0.25">
      <c r="T331" s="2" t="s">
        <v>141</v>
      </c>
    </row>
    <row r="332" spans="20:20" x14ac:dyDescent="0.25">
      <c r="T332" s="2" t="s">
        <v>141</v>
      </c>
    </row>
    <row r="333" spans="20:20" x14ac:dyDescent="0.25">
      <c r="T333" s="2" t="s">
        <v>141</v>
      </c>
    </row>
    <row r="334" spans="20:20" x14ac:dyDescent="0.25">
      <c r="T334" s="2" t="s">
        <v>141</v>
      </c>
    </row>
    <row r="335" spans="20:20" x14ac:dyDescent="0.25">
      <c r="T335" s="2" t="s">
        <v>141</v>
      </c>
    </row>
    <row r="336" spans="20:20" x14ac:dyDescent="0.25">
      <c r="T336" s="2" t="s">
        <v>141</v>
      </c>
    </row>
    <row r="337" spans="20:20" x14ac:dyDescent="0.25">
      <c r="T337" s="2" t="s">
        <v>141</v>
      </c>
    </row>
    <row r="338" spans="20:20" x14ac:dyDescent="0.25">
      <c r="T338" s="2" t="s">
        <v>141</v>
      </c>
    </row>
    <row r="339" spans="20:20" x14ac:dyDescent="0.25">
      <c r="T339" s="2" t="s">
        <v>141</v>
      </c>
    </row>
    <row r="340" spans="20:20" x14ac:dyDescent="0.25">
      <c r="T340" s="2" t="s">
        <v>141</v>
      </c>
    </row>
    <row r="341" spans="20:20" x14ac:dyDescent="0.25">
      <c r="T341" s="2" t="s">
        <v>141</v>
      </c>
    </row>
    <row r="342" spans="20:20" x14ac:dyDescent="0.25">
      <c r="T342" s="2" t="s">
        <v>141</v>
      </c>
    </row>
    <row r="343" spans="20:20" x14ac:dyDescent="0.25">
      <c r="T343" s="2" t="s">
        <v>141</v>
      </c>
    </row>
    <row r="344" spans="20:20" x14ac:dyDescent="0.25">
      <c r="T344" s="2" t="s">
        <v>141</v>
      </c>
    </row>
    <row r="345" spans="20:20" x14ac:dyDescent="0.25">
      <c r="T345" s="2" t="s">
        <v>141</v>
      </c>
    </row>
    <row r="346" spans="20:20" x14ac:dyDescent="0.25">
      <c r="T346" s="2" t="s">
        <v>141</v>
      </c>
    </row>
    <row r="347" spans="20:20" x14ac:dyDescent="0.25">
      <c r="T347" s="2" t="s">
        <v>141</v>
      </c>
    </row>
    <row r="348" spans="20:20" x14ac:dyDescent="0.25">
      <c r="T348" s="2" t="s">
        <v>141</v>
      </c>
    </row>
    <row r="349" spans="20:20" x14ac:dyDescent="0.25">
      <c r="T349" s="2" t="s">
        <v>141</v>
      </c>
    </row>
    <row r="350" spans="20:20" x14ac:dyDescent="0.25">
      <c r="T350" s="2" t="s">
        <v>141</v>
      </c>
    </row>
    <row r="351" spans="20:20" x14ac:dyDescent="0.25">
      <c r="T351" s="2" t="s">
        <v>141</v>
      </c>
    </row>
    <row r="352" spans="20:20" x14ac:dyDescent="0.25">
      <c r="T352" s="2" t="s">
        <v>141</v>
      </c>
    </row>
    <row r="353" spans="20:20" x14ac:dyDescent="0.25">
      <c r="T353" s="2" t="s">
        <v>141</v>
      </c>
    </row>
    <row r="354" spans="20:20" x14ac:dyDescent="0.25">
      <c r="T354" s="2" t="s">
        <v>141</v>
      </c>
    </row>
    <row r="355" spans="20:20" x14ac:dyDescent="0.25">
      <c r="T355" s="2" t="s">
        <v>141</v>
      </c>
    </row>
    <row r="356" spans="20:20" x14ac:dyDescent="0.25">
      <c r="T356" s="2" t="s">
        <v>141</v>
      </c>
    </row>
    <row r="357" spans="20:20" x14ac:dyDescent="0.25">
      <c r="T357" s="2" t="s">
        <v>141</v>
      </c>
    </row>
    <row r="358" spans="20:20" x14ac:dyDescent="0.25">
      <c r="T358" s="2" t="s">
        <v>141</v>
      </c>
    </row>
    <row r="359" spans="20:20" x14ac:dyDescent="0.25">
      <c r="T359" s="2" t="s">
        <v>141</v>
      </c>
    </row>
    <row r="360" spans="20:20" x14ac:dyDescent="0.25">
      <c r="T360" s="2" t="s">
        <v>141</v>
      </c>
    </row>
    <row r="361" spans="20:20" x14ac:dyDescent="0.25">
      <c r="T361" s="2" t="s">
        <v>141</v>
      </c>
    </row>
    <row r="362" spans="20:20" x14ac:dyDescent="0.25">
      <c r="T362" s="2" t="s">
        <v>141</v>
      </c>
    </row>
    <row r="363" spans="20:20" x14ac:dyDescent="0.25">
      <c r="T363" s="2" t="s">
        <v>141</v>
      </c>
    </row>
    <row r="364" spans="20:20" x14ac:dyDescent="0.25">
      <c r="T364" s="2" t="s">
        <v>141</v>
      </c>
    </row>
    <row r="365" spans="20:20" x14ac:dyDescent="0.25">
      <c r="T365" s="2" t="s">
        <v>141</v>
      </c>
    </row>
    <row r="366" spans="20:20" x14ac:dyDescent="0.25">
      <c r="T366" s="2" t="s">
        <v>141</v>
      </c>
    </row>
    <row r="367" spans="20:20" x14ac:dyDescent="0.25">
      <c r="T367" s="2" t="s">
        <v>141</v>
      </c>
    </row>
    <row r="368" spans="20:20" x14ac:dyDescent="0.25">
      <c r="T368" s="2" t="s">
        <v>141</v>
      </c>
    </row>
    <row r="369" spans="20:20" x14ac:dyDescent="0.25">
      <c r="T369" s="2" t="s">
        <v>141</v>
      </c>
    </row>
    <row r="370" spans="20:20" x14ac:dyDescent="0.25">
      <c r="T370" s="2" t="s">
        <v>141</v>
      </c>
    </row>
    <row r="371" spans="20:20" x14ac:dyDescent="0.25">
      <c r="T371" s="2" t="s">
        <v>141</v>
      </c>
    </row>
    <row r="372" spans="20:20" x14ac:dyDescent="0.25">
      <c r="T372" s="2" t="s">
        <v>141</v>
      </c>
    </row>
    <row r="373" spans="20:20" x14ac:dyDescent="0.25">
      <c r="T373" s="2" t="s">
        <v>141</v>
      </c>
    </row>
    <row r="374" spans="20:20" x14ac:dyDescent="0.25">
      <c r="T374" s="2" t="s">
        <v>141</v>
      </c>
    </row>
    <row r="375" spans="20:20" x14ac:dyDescent="0.25">
      <c r="T375" s="2" t="s">
        <v>141</v>
      </c>
    </row>
    <row r="376" spans="20:20" x14ac:dyDescent="0.25">
      <c r="T376" s="2" t="s">
        <v>141</v>
      </c>
    </row>
    <row r="377" spans="20:20" x14ac:dyDescent="0.25">
      <c r="T377" s="2" t="s">
        <v>141</v>
      </c>
    </row>
    <row r="378" spans="20:20" x14ac:dyDescent="0.25">
      <c r="T378" s="2" t="s">
        <v>141</v>
      </c>
    </row>
    <row r="379" spans="20:20" x14ac:dyDescent="0.25">
      <c r="T379" s="2" t="s">
        <v>141</v>
      </c>
    </row>
    <row r="380" spans="20:20" x14ac:dyDescent="0.25">
      <c r="T380" s="2" t="s">
        <v>141</v>
      </c>
    </row>
    <row r="381" spans="20:20" x14ac:dyDescent="0.25">
      <c r="T381" s="2" t="s">
        <v>141</v>
      </c>
    </row>
    <row r="382" spans="20:20" x14ac:dyDescent="0.25">
      <c r="T382" s="2" t="s">
        <v>141</v>
      </c>
    </row>
    <row r="383" spans="20:20" x14ac:dyDescent="0.25">
      <c r="T383" s="2" t="s">
        <v>141</v>
      </c>
    </row>
    <row r="384" spans="20:20" x14ac:dyDescent="0.25">
      <c r="T384" s="2" t="s">
        <v>141</v>
      </c>
    </row>
    <row r="385" spans="20:20" x14ac:dyDescent="0.25">
      <c r="T385" s="2" t="s">
        <v>141</v>
      </c>
    </row>
    <row r="386" spans="20:20" x14ac:dyDescent="0.25">
      <c r="T386" s="2" t="s">
        <v>141</v>
      </c>
    </row>
    <row r="387" spans="20:20" x14ac:dyDescent="0.25">
      <c r="T387" s="2" t="s">
        <v>141</v>
      </c>
    </row>
    <row r="388" spans="20:20" x14ac:dyDescent="0.25">
      <c r="T388" s="2" t="s">
        <v>141</v>
      </c>
    </row>
    <row r="389" spans="20:20" x14ac:dyDescent="0.25">
      <c r="T389" s="2" t="s">
        <v>141</v>
      </c>
    </row>
    <row r="390" spans="20:20" x14ac:dyDescent="0.25">
      <c r="T390" s="2" t="s">
        <v>141</v>
      </c>
    </row>
    <row r="391" spans="20:20" x14ac:dyDescent="0.25">
      <c r="T391" s="2" t="s">
        <v>141</v>
      </c>
    </row>
    <row r="392" spans="20:20" x14ac:dyDescent="0.25">
      <c r="T392" s="2" t="s">
        <v>141</v>
      </c>
    </row>
    <row r="393" spans="20:20" x14ac:dyDescent="0.25">
      <c r="T393" s="2" t="s">
        <v>141</v>
      </c>
    </row>
    <row r="394" spans="20:20" x14ac:dyDescent="0.25">
      <c r="T394" s="2" t="s">
        <v>141</v>
      </c>
    </row>
    <row r="395" spans="20:20" x14ac:dyDescent="0.25">
      <c r="T395" s="2" t="s">
        <v>141</v>
      </c>
    </row>
    <row r="396" spans="20:20" x14ac:dyDescent="0.25">
      <c r="T396" s="2" t="s">
        <v>141</v>
      </c>
    </row>
    <row r="397" spans="20:20" x14ac:dyDescent="0.25">
      <c r="T397" s="2" t="s">
        <v>141</v>
      </c>
    </row>
    <row r="398" spans="20:20" x14ac:dyDescent="0.25">
      <c r="T398" s="2" t="s">
        <v>141</v>
      </c>
    </row>
    <row r="399" spans="20:20" x14ac:dyDescent="0.25">
      <c r="T399" s="2" t="s">
        <v>141</v>
      </c>
    </row>
    <row r="400" spans="20:20" x14ac:dyDescent="0.25">
      <c r="T400" s="2" t="s">
        <v>141</v>
      </c>
    </row>
    <row r="401" spans="20:20" x14ac:dyDescent="0.25">
      <c r="T401" s="2" t="s">
        <v>141</v>
      </c>
    </row>
    <row r="402" spans="20:20" x14ac:dyDescent="0.25">
      <c r="T402" s="2" t="s">
        <v>141</v>
      </c>
    </row>
    <row r="403" spans="20:20" x14ac:dyDescent="0.25">
      <c r="T403" s="2" t="s">
        <v>141</v>
      </c>
    </row>
    <row r="404" spans="20:20" x14ac:dyDescent="0.25">
      <c r="T404" s="2" t="s">
        <v>141</v>
      </c>
    </row>
    <row r="405" spans="20:20" x14ac:dyDescent="0.25">
      <c r="T405" s="2" t="s">
        <v>141</v>
      </c>
    </row>
    <row r="406" spans="20:20" x14ac:dyDescent="0.25">
      <c r="T406" s="2" t="s">
        <v>141</v>
      </c>
    </row>
    <row r="407" spans="20:20" x14ac:dyDescent="0.25">
      <c r="T407" s="2" t="s">
        <v>141</v>
      </c>
    </row>
    <row r="408" spans="20:20" x14ac:dyDescent="0.25">
      <c r="T408" s="2" t="s">
        <v>141</v>
      </c>
    </row>
    <row r="409" spans="20:20" x14ac:dyDescent="0.25">
      <c r="T409" s="2" t="s">
        <v>141</v>
      </c>
    </row>
    <row r="410" spans="20:20" x14ac:dyDescent="0.25">
      <c r="T410" s="2" t="s">
        <v>141</v>
      </c>
    </row>
    <row r="411" spans="20:20" x14ac:dyDescent="0.25">
      <c r="T411" s="2" t="s">
        <v>141</v>
      </c>
    </row>
    <row r="412" spans="20:20" x14ac:dyDescent="0.25">
      <c r="T412" s="2" t="s">
        <v>141</v>
      </c>
    </row>
    <row r="413" spans="20:20" x14ac:dyDescent="0.25">
      <c r="T413" s="2" t="s">
        <v>141</v>
      </c>
    </row>
    <row r="414" spans="20:20" x14ac:dyDescent="0.25">
      <c r="T414" s="2" t="s">
        <v>141</v>
      </c>
    </row>
    <row r="415" spans="20:20" x14ac:dyDescent="0.25">
      <c r="T415" s="2" t="s">
        <v>141</v>
      </c>
    </row>
    <row r="416" spans="20:20" x14ac:dyDescent="0.25">
      <c r="T416" s="2" t="s">
        <v>141</v>
      </c>
    </row>
    <row r="417" spans="20:20" x14ac:dyDescent="0.25">
      <c r="T417" s="2" t="s">
        <v>141</v>
      </c>
    </row>
    <row r="418" spans="20:20" x14ac:dyDescent="0.25">
      <c r="T418" s="2" t="s">
        <v>141</v>
      </c>
    </row>
    <row r="419" spans="20:20" x14ac:dyDescent="0.25">
      <c r="T419" s="2" t="s">
        <v>141</v>
      </c>
    </row>
    <row r="420" spans="20:20" x14ac:dyDescent="0.25">
      <c r="T420" s="2" t="s">
        <v>141</v>
      </c>
    </row>
    <row r="421" spans="20:20" x14ac:dyDescent="0.25">
      <c r="T421" s="2" t="s">
        <v>141</v>
      </c>
    </row>
    <row r="422" spans="20:20" x14ac:dyDescent="0.25">
      <c r="T422" s="2" t="s">
        <v>141</v>
      </c>
    </row>
    <row r="423" spans="20:20" x14ac:dyDescent="0.25">
      <c r="T423" s="2" t="s">
        <v>141</v>
      </c>
    </row>
    <row r="424" spans="20:20" x14ac:dyDescent="0.25">
      <c r="T424" s="2" t="s">
        <v>141</v>
      </c>
    </row>
    <row r="425" spans="20:20" x14ac:dyDescent="0.25">
      <c r="T425" s="2" t="s">
        <v>141</v>
      </c>
    </row>
    <row r="426" spans="20:20" x14ac:dyDescent="0.25">
      <c r="T426" s="2" t="s">
        <v>141</v>
      </c>
    </row>
    <row r="427" spans="20:20" x14ac:dyDescent="0.25">
      <c r="T427" s="2" t="s">
        <v>141</v>
      </c>
    </row>
    <row r="428" spans="20:20" x14ac:dyDescent="0.25">
      <c r="T428" s="2" t="s">
        <v>141</v>
      </c>
    </row>
    <row r="429" spans="20:20" x14ac:dyDescent="0.25">
      <c r="T429" s="2" t="s">
        <v>141</v>
      </c>
    </row>
    <row r="430" spans="20:20" x14ac:dyDescent="0.25">
      <c r="T430" s="2" t="s">
        <v>141</v>
      </c>
    </row>
    <row r="431" spans="20:20" x14ac:dyDescent="0.25">
      <c r="T431" s="2" t="s">
        <v>141</v>
      </c>
    </row>
    <row r="432" spans="20:20" x14ac:dyDescent="0.25">
      <c r="T432" s="2" t="s">
        <v>141</v>
      </c>
    </row>
    <row r="433" spans="20:20" x14ac:dyDescent="0.25">
      <c r="T433" s="2" t="s">
        <v>141</v>
      </c>
    </row>
    <row r="434" spans="20:20" x14ac:dyDescent="0.25">
      <c r="T434" s="2" t="s">
        <v>141</v>
      </c>
    </row>
    <row r="435" spans="20:20" x14ac:dyDescent="0.25">
      <c r="T435" s="2" t="s">
        <v>141</v>
      </c>
    </row>
    <row r="436" spans="20:20" x14ac:dyDescent="0.25">
      <c r="T436" s="2" t="s">
        <v>141</v>
      </c>
    </row>
    <row r="437" spans="20:20" x14ac:dyDescent="0.25">
      <c r="T437" s="2" t="s">
        <v>141</v>
      </c>
    </row>
    <row r="438" spans="20:20" x14ac:dyDescent="0.25">
      <c r="T438" s="2" t="s">
        <v>141</v>
      </c>
    </row>
    <row r="439" spans="20:20" x14ac:dyDescent="0.25">
      <c r="T439" s="2" t="s">
        <v>141</v>
      </c>
    </row>
    <row r="440" spans="20:20" x14ac:dyDescent="0.25">
      <c r="T440" s="2" t="s">
        <v>141</v>
      </c>
    </row>
    <row r="441" spans="20:20" x14ac:dyDescent="0.25">
      <c r="T441" s="2" t="s">
        <v>141</v>
      </c>
    </row>
    <row r="442" spans="20:20" x14ac:dyDescent="0.25">
      <c r="T442" s="2" t="s">
        <v>141</v>
      </c>
    </row>
    <row r="443" spans="20:20" x14ac:dyDescent="0.25">
      <c r="T443" s="2" t="s">
        <v>141</v>
      </c>
    </row>
    <row r="444" spans="20:20" x14ac:dyDescent="0.25">
      <c r="T444" s="2" t="s">
        <v>141</v>
      </c>
    </row>
    <row r="445" spans="20:20" x14ac:dyDescent="0.25">
      <c r="T445" s="2" t="s">
        <v>141</v>
      </c>
    </row>
    <row r="446" spans="20:20" x14ac:dyDescent="0.25">
      <c r="T446" s="2" t="s">
        <v>141</v>
      </c>
    </row>
    <row r="447" spans="20:20" x14ac:dyDescent="0.25">
      <c r="T447" s="2" t="s">
        <v>141</v>
      </c>
    </row>
    <row r="448" spans="20:20" x14ac:dyDescent="0.25">
      <c r="T448" s="2" t="s">
        <v>141</v>
      </c>
    </row>
    <row r="449" spans="20:20" x14ac:dyDescent="0.25">
      <c r="T449" s="2" t="s">
        <v>141</v>
      </c>
    </row>
    <row r="450" spans="20:20" x14ac:dyDescent="0.25">
      <c r="T450" s="2" t="s">
        <v>141</v>
      </c>
    </row>
    <row r="451" spans="20:20" x14ac:dyDescent="0.25">
      <c r="T451" s="2" t="s">
        <v>141</v>
      </c>
    </row>
    <row r="452" spans="20:20" x14ac:dyDescent="0.25">
      <c r="T452" s="2" t="s">
        <v>141</v>
      </c>
    </row>
    <row r="453" spans="20:20" x14ac:dyDescent="0.25">
      <c r="T453" s="2" t="s">
        <v>141</v>
      </c>
    </row>
    <row r="454" spans="20:20" x14ac:dyDescent="0.25">
      <c r="T454" s="2" t="s">
        <v>141</v>
      </c>
    </row>
    <row r="455" spans="20:20" x14ac:dyDescent="0.25">
      <c r="T455" s="2" t="s">
        <v>141</v>
      </c>
    </row>
    <row r="456" spans="20:20" x14ac:dyDescent="0.25">
      <c r="T456" s="2" t="s">
        <v>141</v>
      </c>
    </row>
    <row r="457" spans="20:20" x14ac:dyDescent="0.25">
      <c r="T457" s="2" t="s">
        <v>141</v>
      </c>
    </row>
    <row r="458" spans="20:20" x14ac:dyDescent="0.25">
      <c r="T458" s="2" t="s">
        <v>141</v>
      </c>
    </row>
    <row r="459" spans="20:20" x14ac:dyDescent="0.25">
      <c r="T459" s="2" t="s">
        <v>141</v>
      </c>
    </row>
    <row r="460" spans="20:20" x14ac:dyDescent="0.25">
      <c r="T460" s="2" t="s">
        <v>141</v>
      </c>
    </row>
    <row r="461" spans="20:20" x14ac:dyDescent="0.25">
      <c r="T461" s="2" t="s">
        <v>141</v>
      </c>
    </row>
    <row r="462" spans="20:20" x14ac:dyDescent="0.25">
      <c r="T462" s="2" t="s">
        <v>141</v>
      </c>
    </row>
    <row r="463" spans="20:20" x14ac:dyDescent="0.25">
      <c r="T463" s="2" t="s">
        <v>141</v>
      </c>
    </row>
    <row r="464" spans="20:20" x14ac:dyDescent="0.25">
      <c r="T464" s="2" t="s">
        <v>141</v>
      </c>
    </row>
    <row r="465" spans="20:20" x14ac:dyDescent="0.25">
      <c r="T465" s="2" t="s">
        <v>141</v>
      </c>
    </row>
    <row r="466" spans="20:20" x14ac:dyDescent="0.25">
      <c r="T466" s="2" t="s">
        <v>141</v>
      </c>
    </row>
    <row r="467" spans="20:20" x14ac:dyDescent="0.25">
      <c r="T467" s="2" t="s">
        <v>141</v>
      </c>
    </row>
    <row r="468" spans="20:20" x14ac:dyDescent="0.25">
      <c r="T468" s="2" t="s">
        <v>141</v>
      </c>
    </row>
    <row r="469" spans="20:20" x14ac:dyDescent="0.25">
      <c r="T469" s="2" t="s">
        <v>141</v>
      </c>
    </row>
    <row r="470" spans="20:20" x14ac:dyDescent="0.25">
      <c r="T470" s="2" t="s">
        <v>141</v>
      </c>
    </row>
    <row r="471" spans="20:20" x14ac:dyDescent="0.25">
      <c r="T471" s="2" t="s">
        <v>141</v>
      </c>
    </row>
    <row r="472" spans="20:20" x14ac:dyDescent="0.25">
      <c r="T472" s="2" t="s">
        <v>141</v>
      </c>
    </row>
    <row r="473" spans="20:20" x14ac:dyDescent="0.25">
      <c r="T473" s="2" t="s">
        <v>141</v>
      </c>
    </row>
    <row r="474" spans="20:20" x14ac:dyDescent="0.25">
      <c r="T474" s="2" t="s">
        <v>141</v>
      </c>
    </row>
    <row r="475" spans="20:20" x14ac:dyDescent="0.25">
      <c r="T475" s="2" t="s">
        <v>141</v>
      </c>
    </row>
    <row r="476" spans="20:20" x14ac:dyDescent="0.25">
      <c r="T476" s="2" t="s">
        <v>141</v>
      </c>
    </row>
    <row r="477" spans="20:20" x14ac:dyDescent="0.25">
      <c r="T477" s="2" t="s">
        <v>141</v>
      </c>
    </row>
    <row r="478" spans="20:20" x14ac:dyDescent="0.25">
      <c r="T478" s="2" t="s">
        <v>141</v>
      </c>
    </row>
    <row r="479" spans="20:20" x14ac:dyDescent="0.25">
      <c r="T479" s="2" t="s">
        <v>141</v>
      </c>
    </row>
    <row r="480" spans="20:20" x14ac:dyDescent="0.25">
      <c r="T480" s="2" t="s">
        <v>141</v>
      </c>
    </row>
    <row r="481" spans="20:20" x14ac:dyDescent="0.25">
      <c r="T481" s="2" t="s">
        <v>141</v>
      </c>
    </row>
    <row r="482" spans="20:20" x14ac:dyDescent="0.25">
      <c r="T482" s="2" t="s">
        <v>141</v>
      </c>
    </row>
    <row r="483" spans="20:20" x14ac:dyDescent="0.25">
      <c r="T483" s="2" t="s">
        <v>141</v>
      </c>
    </row>
    <row r="484" spans="20:20" x14ac:dyDescent="0.25">
      <c r="T484" s="2" t="s">
        <v>141</v>
      </c>
    </row>
    <row r="485" spans="20:20" x14ac:dyDescent="0.25">
      <c r="T485" s="2" t="s">
        <v>141</v>
      </c>
    </row>
    <row r="486" spans="20:20" x14ac:dyDescent="0.25">
      <c r="T486" s="2" t="s">
        <v>141</v>
      </c>
    </row>
    <row r="487" spans="20:20" x14ac:dyDescent="0.25">
      <c r="T487" s="2" t="s">
        <v>141</v>
      </c>
    </row>
    <row r="488" spans="20:20" x14ac:dyDescent="0.25">
      <c r="T488" s="2" t="s">
        <v>141</v>
      </c>
    </row>
    <row r="489" spans="20:20" x14ac:dyDescent="0.25">
      <c r="T489" s="2" t="s">
        <v>141</v>
      </c>
    </row>
    <row r="490" spans="20:20" x14ac:dyDescent="0.25">
      <c r="T490" s="2" t="s">
        <v>141</v>
      </c>
    </row>
    <row r="491" spans="20:20" x14ac:dyDescent="0.25">
      <c r="T491" s="2" t="s">
        <v>141</v>
      </c>
    </row>
    <row r="492" spans="20:20" x14ac:dyDescent="0.25">
      <c r="T492" s="2" t="s">
        <v>141</v>
      </c>
    </row>
    <row r="493" spans="20:20" x14ac:dyDescent="0.25">
      <c r="T493" s="2" t="s">
        <v>141</v>
      </c>
    </row>
    <row r="494" spans="20:20" x14ac:dyDescent="0.25">
      <c r="T494" s="2" t="s">
        <v>141</v>
      </c>
    </row>
    <row r="495" spans="20:20" x14ac:dyDescent="0.25">
      <c r="T495" s="2" t="s">
        <v>141</v>
      </c>
    </row>
    <row r="496" spans="20:20" x14ac:dyDescent="0.25">
      <c r="T496" s="2" t="s">
        <v>141</v>
      </c>
    </row>
    <row r="497" spans="20:20" x14ac:dyDescent="0.25">
      <c r="T497" s="2" t="s">
        <v>141</v>
      </c>
    </row>
    <row r="498" spans="20:20" x14ac:dyDescent="0.25">
      <c r="T498" s="2" t="s">
        <v>141</v>
      </c>
    </row>
    <row r="499" spans="20:20" x14ac:dyDescent="0.25">
      <c r="T499" s="2" t="s">
        <v>141</v>
      </c>
    </row>
    <row r="500" spans="20:20" x14ac:dyDescent="0.25">
      <c r="T500" s="2" t="s">
        <v>141</v>
      </c>
    </row>
    <row r="501" spans="20:20" x14ac:dyDescent="0.25">
      <c r="T501" s="2" t="s">
        <v>141</v>
      </c>
    </row>
    <row r="502" spans="20:20" x14ac:dyDescent="0.25">
      <c r="T502" s="2" t="s">
        <v>141</v>
      </c>
    </row>
    <row r="503" spans="20:20" x14ac:dyDescent="0.25">
      <c r="T503" s="2" t="s">
        <v>141</v>
      </c>
    </row>
    <row r="504" spans="20:20" x14ac:dyDescent="0.25">
      <c r="T504" s="2" t="s">
        <v>141</v>
      </c>
    </row>
    <row r="505" spans="20:20" x14ac:dyDescent="0.25">
      <c r="T505" s="2" t="s">
        <v>141</v>
      </c>
    </row>
    <row r="506" spans="20:20" x14ac:dyDescent="0.25">
      <c r="T506" s="2" t="s">
        <v>141</v>
      </c>
    </row>
    <row r="507" spans="20:20" x14ac:dyDescent="0.25">
      <c r="T507" s="2" t="s">
        <v>141</v>
      </c>
    </row>
    <row r="508" spans="20:20" x14ac:dyDescent="0.25">
      <c r="T508" s="2" t="s">
        <v>141</v>
      </c>
    </row>
    <row r="509" spans="20:20" x14ac:dyDescent="0.25">
      <c r="T509" s="2" t="s">
        <v>141</v>
      </c>
    </row>
    <row r="510" spans="20:20" x14ac:dyDescent="0.25">
      <c r="T510" s="2" t="s">
        <v>141</v>
      </c>
    </row>
    <row r="511" spans="20:20" x14ac:dyDescent="0.25">
      <c r="T511" s="2" t="s">
        <v>141</v>
      </c>
    </row>
    <row r="512" spans="20:20" x14ac:dyDescent="0.25">
      <c r="T512" s="2" t="s">
        <v>141</v>
      </c>
    </row>
    <row r="513" spans="20:20" x14ac:dyDescent="0.25">
      <c r="T513" s="2" t="s">
        <v>141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24</xdr:col>
                <xdr:colOff>28575</xdr:colOff>
                <xdr:row>0</xdr:row>
                <xdr:rowOff>0</xdr:rowOff>
              </from>
              <to>
                <xdr:col>25</xdr:col>
                <xdr:colOff>628650</xdr:colOff>
                <xdr:row>1</xdr:row>
                <xdr:rowOff>180975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100013"/>
  <sheetViews>
    <sheetView zoomScaleNormal="100" workbookViewId="0">
      <selection activeCell="J3" sqref="J3:J259"/>
    </sheetView>
  </sheetViews>
  <sheetFormatPr defaultRowHeight="15" x14ac:dyDescent="0.25"/>
  <cols>
    <col min="1" max="1" width="5.85546875" bestFit="1" customWidth="1"/>
    <col min="2" max="2" width="9" bestFit="1" customWidth="1"/>
    <col min="3" max="3" width="14.28515625" customWidth="1"/>
    <col min="4" max="4" width="3.28515625" bestFit="1" customWidth="1"/>
    <col min="5" max="5" width="9" bestFit="1" customWidth="1"/>
    <col min="6" max="6" width="8.140625" bestFit="1" customWidth="1"/>
    <col min="7" max="7" width="9" bestFit="1" customWidth="1"/>
    <col min="8" max="8" width="8.5703125" hidden="1" customWidth="1"/>
    <col min="9" max="9" width="4" hidden="1" customWidth="1"/>
    <col min="10" max="10" width="9" hidden="1" customWidth="1"/>
    <col min="11" max="11" width="7.7109375" hidden="1" customWidth="1"/>
    <col min="12" max="12" width="4.85546875" hidden="1" customWidth="1"/>
    <col min="13" max="14" width="4" hidden="1" customWidth="1"/>
    <col min="15" max="15" width="3.140625" hidden="1" customWidth="1"/>
    <col min="16" max="16" width="4" hidden="1" customWidth="1"/>
    <col min="17" max="18" width="3.140625" hidden="1" customWidth="1"/>
    <col min="19" max="19" width="2.7109375" hidden="1" customWidth="1"/>
    <col min="20" max="20" width="3.28515625" hidden="1" customWidth="1"/>
    <col min="21" max="22" width="4.42578125" hidden="1" customWidth="1"/>
    <col min="23" max="23" width="2" hidden="1" customWidth="1"/>
    <col min="24" max="25" width="9.140625" hidden="1" customWidth="1"/>
    <col min="26" max="26" width="14.140625" hidden="1" customWidth="1"/>
    <col min="27" max="27" width="0" hidden="1" customWidth="1"/>
  </cols>
  <sheetData>
    <row r="1" spans="1:24" x14ac:dyDescent="0.25">
      <c r="A1" s="113" t="s">
        <v>175</v>
      </c>
      <c r="B1" s="113"/>
      <c r="C1" s="56" t="s">
        <v>204</v>
      </c>
      <c r="D1" s="62"/>
      <c r="E1" s="62"/>
      <c r="F1" s="62"/>
      <c r="G1" s="62"/>
      <c r="H1" s="62"/>
      <c r="I1" s="60"/>
      <c r="J1" s="63" t="s">
        <v>182</v>
      </c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24" x14ac:dyDescent="0.25">
      <c r="A2" s="56" t="s">
        <v>8</v>
      </c>
      <c r="B2" s="85">
        <v>233</v>
      </c>
      <c r="C2" s="44" t="str">
        <f>DEC2BIN(B2)</f>
        <v>11101001</v>
      </c>
      <c r="D2" s="62"/>
      <c r="E2" s="62"/>
      <c r="F2" s="62"/>
      <c r="G2" s="62"/>
      <c r="H2" s="62"/>
      <c r="I2" s="60"/>
      <c r="J2" s="63"/>
      <c r="K2" s="62"/>
      <c r="L2" s="114" t="s">
        <v>185</v>
      </c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</row>
    <row r="3" spans="1:24" x14ac:dyDescent="0.25">
      <c r="A3" s="56" t="s">
        <v>9</v>
      </c>
      <c r="B3" s="85">
        <v>377</v>
      </c>
      <c r="C3" s="44" t="str">
        <f t="shared" ref="C3:C10" si="0">DEC2BIN(B3)</f>
        <v>101111001</v>
      </c>
      <c r="D3" s="62"/>
      <c r="E3" s="62"/>
      <c r="F3" s="62"/>
      <c r="G3" s="62"/>
      <c r="H3" s="62"/>
      <c r="I3" s="61">
        <v>0</v>
      </c>
      <c r="J3" s="55">
        <v>100000</v>
      </c>
      <c r="K3" s="62"/>
      <c r="L3" s="110" t="s">
        <v>186</v>
      </c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2"/>
    </row>
    <row r="4" spans="1:24" x14ac:dyDescent="0.25">
      <c r="A4" s="56" t="s">
        <v>10</v>
      </c>
      <c r="B4" s="85">
        <v>19</v>
      </c>
      <c r="C4" s="44" t="str">
        <f t="shared" si="0"/>
        <v>10011</v>
      </c>
      <c r="D4" s="62"/>
      <c r="E4" s="62"/>
      <c r="F4" s="62"/>
      <c r="G4" s="62"/>
      <c r="H4" s="62"/>
      <c r="I4" s="61">
        <v>1</v>
      </c>
      <c r="J4" s="55">
        <v>0</v>
      </c>
      <c r="K4" s="62"/>
      <c r="L4" s="110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2"/>
      <c r="X4" s="65"/>
    </row>
    <row r="5" spans="1:24" x14ac:dyDescent="0.25">
      <c r="A5" s="56" t="s">
        <v>11</v>
      </c>
      <c r="B5" s="85">
        <v>20</v>
      </c>
      <c r="C5" s="44" t="str">
        <f t="shared" si="0"/>
        <v>10100</v>
      </c>
      <c r="D5" s="62"/>
      <c r="E5" s="62"/>
      <c r="F5" s="62"/>
      <c r="G5" s="62"/>
      <c r="H5" s="62"/>
      <c r="I5" s="61">
        <v>2</v>
      </c>
      <c r="J5" s="55">
        <v>100001</v>
      </c>
      <c r="K5" s="62"/>
      <c r="L5" s="110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2"/>
      <c r="X5" s="65"/>
    </row>
    <row r="6" spans="1:24" x14ac:dyDescent="0.25">
      <c r="A6" s="56" t="s">
        <v>166</v>
      </c>
      <c r="B6" s="85"/>
      <c r="C6" s="44" t="str">
        <f t="shared" si="0"/>
        <v>0</v>
      </c>
      <c r="D6" s="62"/>
      <c r="E6" s="62"/>
      <c r="F6" s="62"/>
      <c r="G6" s="62"/>
      <c r="H6" s="62"/>
      <c r="I6" s="61">
        <v>3</v>
      </c>
      <c r="J6" s="55">
        <v>1</v>
      </c>
      <c r="K6" s="62"/>
      <c r="L6" s="110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2"/>
      <c r="X6" s="65"/>
    </row>
    <row r="7" spans="1:24" x14ac:dyDescent="0.25">
      <c r="A7" s="56" t="s">
        <v>167</v>
      </c>
      <c r="B7" s="85">
        <v>17</v>
      </c>
      <c r="C7" s="44" t="str">
        <f t="shared" si="0"/>
        <v>10001</v>
      </c>
      <c r="D7" s="62"/>
      <c r="E7" s="62"/>
      <c r="F7" s="62"/>
      <c r="G7" s="62"/>
      <c r="H7" s="62"/>
      <c r="I7" s="61">
        <v>4</v>
      </c>
      <c r="J7" s="55">
        <v>100010</v>
      </c>
      <c r="K7" s="62"/>
      <c r="L7" s="110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2"/>
      <c r="X7" s="65"/>
    </row>
    <row r="8" spans="1:24" x14ac:dyDescent="0.25">
      <c r="A8" s="56" t="s">
        <v>168</v>
      </c>
      <c r="B8" s="85">
        <v>11001111</v>
      </c>
      <c r="C8" s="44" t="e">
        <f t="shared" si="0"/>
        <v>#NUM!</v>
      </c>
      <c r="D8" s="62"/>
      <c r="E8" s="62"/>
      <c r="F8" s="62"/>
      <c r="G8" s="62"/>
      <c r="H8" s="62"/>
      <c r="I8" s="61">
        <v>5</v>
      </c>
      <c r="J8" s="55">
        <v>10011</v>
      </c>
      <c r="K8" s="62"/>
      <c r="L8" s="110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2"/>
    </row>
    <row r="9" spans="1:24" x14ac:dyDescent="0.25">
      <c r="A9" s="56" t="s">
        <v>169</v>
      </c>
      <c r="B9" s="85"/>
      <c r="C9" s="44" t="str">
        <f t="shared" si="0"/>
        <v>0</v>
      </c>
      <c r="D9" s="62"/>
      <c r="E9" s="62"/>
      <c r="F9" s="62"/>
      <c r="G9" s="62"/>
      <c r="H9" s="62"/>
      <c r="I9" s="61">
        <v>6</v>
      </c>
      <c r="J9" s="55">
        <v>100011</v>
      </c>
      <c r="K9" s="62"/>
      <c r="L9" s="110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2"/>
    </row>
    <row r="10" spans="1:24" x14ac:dyDescent="0.25">
      <c r="A10" s="56" t="s">
        <v>178</v>
      </c>
      <c r="B10" s="85"/>
      <c r="C10" s="44" t="str">
        <f t="shared" si="0"/>
        <v>0</v>
      </c>
      <c r="D10" s="62"/>
      <c r="E10" s="62"/>
      <c r="F10" s="62"/>
      <c r="G10" s="62"/>
      <c r="H10" s="62"/>
      <c r="I10" s="61">
        <v>7</v>
      </c>
      <c r="J10" s="55">
        <v>10100</v>
      </c>
      <c r="K10" s="62"/>
      <c r="L10" s="110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2"/>
    </row>
    <row r="11" spans="1:24" x14ac:dyDescent="0.25">
      <c r="A11" s="113" t="s">
        <v>177</v>
      </c>
      <c r="B11" s="113"/>
      <c r="C11" s="44"/>
      <c r="D11" s="62"/>
      <c r="E11" s="62"/>
      <c r="F11" s="62"/>
      <c r="G11" s="62"/>
      <c r="H11" s="62"/>
      <c r="I11" s="61">
        <v>8</v>
      </c>
      <c r="J11" s="55">
        <v>10000100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4" x14ac:dyDescent="0.25">
      <c r="A12" s="56" t="s">
        <v>172</v>
      </c>
      <c r="B12" s="56" t="s">
        <v>176</v>
      </c>
      <c r="C12" s="44"/>
      <c r="D12" s="62"/>
      <c r="E12" s="62"/>
      <c r="F12" s="62"/>
      <c r="G12" s="62"/>
      <c r="H12" s="62"/>
      <c r="I12" s="61">
        <v>9</v>
      </c>
      <c r="J12" s="55">
        <v>11000</v>
      </c>
      <c r="K12" s="62"/>
      <c r="L12" s="56"/>
      <c r="M12" s="107" t="s">
        <v>191</v>
      </c>
      <c r="N12" s="108"/>
      <c r="O12" s="108"/>
      <c r="P12" s="108"/>
      <c r="Q12" s="108"/>
      <c r="R12" s="109"/>
      <c r="S12" s="107" t="s">
        <v>192</v>
      </c>
      <c r="T12" s="108"/>
      <c r="U12" s="108"/>
      <c r="V12" s="108"/>
      <c r="W12" s="109"/>
    </row>
    <row r="13" spans="1:24" x14ac:dyDescent="0.25">
      <c r="A13" s="55"/>
      <c r="B13" s="47"/>
      <c r="C13" s="44" t="str">
        <f>DEC2BIN(B13)</f>
        <v>0</v>
      </c>
      <c r="D13" s="62"/>
      <c r="E13" s="62"/>
      <c r="F13" s="62"/>
      <c r="G13" s="62"/>
      <c r="H13" s="62"/>
      <c r="I13" s="61">
        <v>10</v>
      </c>
      <c r="J13" s="55">
        <v>11101</v>
      </c>
      <c r="K13" s="62"/>
      <c r="L13" s="56" t="s">
        <v>201</v>
      </c>
      <c r="M13" s="56" t="s">
        <v>167</v>
      </c>
      <c r="N13" s="56" t="s">
        <v>168</v>
      </c>
      <c r="O13" s="56" t="s">
        <v>8</v>
      </c>
      <c r="P13" s="56" t="s">
        <v>9</v>
      </c>
      <c r="Q13" s="56" t="s">
        <v>10</v>
      </c>
      <c r="R13" s="56" t="s">
        <v>11</v>
      </c>
      <c r="S13" s="56" t="s">
        <v>171</v>
      </c>
      <c r="T13" s="56" t="s">
        <v>170</v>
      </c>
      <c r="U13" s="56" t="s">
        <v>189</v>
      </c>
      <c r="V13" s="56" t="s">
        <v>190</v>
      </c>
      <c r="W13" s="56" t="s">
        <v>174</v>
      </c>
    </row>
    <row r="14" spans="1:24" x14ac:dyDescent="0.25">
      <c r="A14" s="56" t="s">
        <v>170</v>
      </c>
      <c r="B14" s="47">
        <v>1</v>
      </c>
      <c r="C14" s="44" t="str">
        <f t="shared" ref="C14:C18" si="1">DEC2BIN(B14)</f>
        <v>1</v>
      </c>
      <c r="D14" s="62"/>
      <c r="E14" s="62"/>
      <c r="F14" s="62"/>
      <c r="G14" s="62"/>
      <c r="H14" s="62"/>
      <c r="I14" s="61">
        <v>11</v>
      </c>
      <c r="J14" s="55">
        <v>1100</v>
      </c>
      <c r="K14" s="62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</row>
    <row r="15" spans="1:24" x14ac:dyDescent="0.25">
      <c r="A15" s="56" t="s">
        <v>171</v>
      </c>
      <c r="B15" s="47"/>
      <c r="C15" s="44" t="str">
        <f t="shared" si="1"/>
        <v>0</v>
      </c>
      <c r="D15" s="62"/>
      <c r="E15" s="62"/>
      <c r="F15" s="62"/>
      <c r="G15" s="62"/>
      <c r="H15" s="62"/>
      <c r="I15" s="61">
        <v>12</v>
      </c>
      <c r="J15" s="55">
        <v>1001</v>
      </c>
      <c r="K15" s="62"/>
      <c r="L15" s="66">
        <v>0</v>
      </c>
      <c r="M15" s="66">
        <v>2</v>
      </c>
      <c r="N15" s="66">
        <v>100001</v>
      </c>
      <c r="O15" s="66">
        <v>0</v>
      </c>
      <c r="P15" s="66"/>
      <c r="Q15" s="66"/>
      <c r="R15" s="66"/>
      <c r="S15" s="66"/>
      <c r="T15" s="66"/>
      <c r="U15" s="66"/>
      <c r="V15" s="66"/>
      <c r="W15" s="66"/>
    </row>
    <row r="16" spans="1:24" x14ac:dyDescent="0.25">
      <c r="A16" s="56" t="s">
        <v>179</v>
      </c>
      <c r="B16" s="47">
        <v>1</v>
      </c>
      <c r="C16" s="44" t="str">
        <f t="shared" si="1"/>
        <v>1</v>
      </c>
      <c r="D16" s="62"/>
      <c r="E16" s="62"/>
      <c r="F16" s="62"/>
      <c r="G16" s="62"/>
      <c r="H16" s="62"/>
      <c r="I16" s="61">
        <v>13</v>
      </c>
      <c r="J16" s="55">
        <v>1011000</v>
      </c>
      <c r="K16" s="62"/>
      <c r="L16" s="66">
        <v>1</v>
      </c>
      <c r="M16" s="66">
        <v>4</v>
      </c>
      <c r="N16" s="66">
        <v>100010</v>
      </c>
      <c r="O16" s="66">
        <v>0</v>
      </c>
      <c r="P16" s="66">
        <v>1</v>
      </c>
      <c r="Q16" s="66"/>
      <c r="R16" s="66"/>
      <c r="S16" s="66"/>
      <c r="T16" s="66"/>
      <c r="U16" s="66"/>
      <c r="V16" s="66"/>
      <c r="W16" s="66"/>
    </row>
    <row r="17" spans="1:26" x14ac:dyDescent="0.25">
      <c r="A17" s="56" t="s">
        <v>173</v>
      </c>
      <c r="B17" s="47">
        <v>1</v>
      </c>
      <c r="C17" s="44" t="str">
        <f t="shared" si="1"/>
        <v>1</v>
      </c>
      <c r="D17" s="62"/>
      <c r="E17" s="62"/>
      <c r="F17" s="62"/>
      <c r="G17" s="62"/>
      <c r="H17" s="62"/>
      <c r="I17" s="61">
        <v>14</v>
      </c>
      <c r="J17" s="55">
        <v>10001</v>
      </c>
      <c r="K17" s="62"/>
      <c r="L17" s="66">
        <v>2</v>
      </c>
      <c r="M17" s="66">
        <v>6</v>
      </c>
      <c r="N17" s="66">
        <v>100011</v>
      </c>
      <c r="O17" s="66">
        <v>0</v>
      </c>
      <c r="P17" s="66">
        <v>1</v>
      </c>
      <c r="Q17" s="66">
        <v>19</v>
      </c>
      <c r="R17" s="66"/>
      <c r="S17" s="66"/>
      <c r="T17" s="66"/>
      <c r="U17" s="66"/>
      <c r="V17" s="66"/>
      <c r="W17" s="66"/>
    </row>
    <row r="18" spans="1:26" x14ac:dyDescent="0.25">
      <c r="A18" s="56" t="s">
        <v>174</v>
      </c>
      <c r="B18" s="47"/>
      <c r="C18" s="44" t="str">
        <f t="shared" si="1"/>
        <v>0</v>
      </c>
      <c r="D18" s="62"/>
      <c r="E18" s="62"/>
      <c r="F18" s="62"/>
      <c r="G18" s="62"/>
      <c r="H18" s="62"/>
      <c r="I18" s="61">
        <v>15</v>
      </c>
      <c r="J18" s="55">
        <v>1000000</v>
      </c>
      <c r="K18" s="62"/>
      <c r="L18" s="66">
        <v>3</v>
      </c>
      <c r="M18" s="66">
        <v>8</v>
      </c>
      <c r="N18" s="66">
        <v>10000100</v>
      </c>
      <c r="O18" s="66">
        <v>0</v>
      </c>
      <c r="P18" s="66">
        <v>1</v>
      </c>
      <c r="Q18" s="66">
        <v>19</v>
      </c>
      <c r="R18" s="66">
        <v>20</v>
      </c>
      <c r="S18" s="66"/>
      <c r="T18" s="66"/>
      <c r="U18" s="66"/>
      <c r="V18" s="66"/>
      <c r="W18" s="66"/>
    </row>
    <row r="19" spans="1:26" x14ac:dyDescent="0.25">
      <c r="A19" s="62"/>
      <c r="B19" s="62"/>
      <c r="C19" s="62"/>
      <c r="D19" s="62"/>
      <c r="E19" s="62"/>
      <c r="F19" s="62"/>
      <c r="G19" s="62"/>
      <c r="H19" s="62"/>
      <c r="I19" s="61">
        <v>16</v>
      </c>
      <c r="J19" s="55">
        <v>1000</v>
      </c>
      <c r="K19" s="62"/>
      <c r="L19" s="66">
        <v>4</v>
      </c>
      <c r="M19" s="66">
        <v>9</v>
      </c>
      <c r="N19" s="66">
        <v>11000</v>
      </c>
      <c r="O19" s="66">
        <v>1</v>
      </c>
      <c r="P19" s="66">
        <v>1</v>
      </c>
      <c r="Q19" s="66">
        <v>19</v>
      </c>
      <c r="R19" s="66">
        <v>20</v>
      </c>
      <c r="S19" s="66"/>
      <c r="T19" s="66"/>
      <c r="U19" s="66">
        <v>1</v>
      </c>
      <c r="V19" s="66"/>
      <c r="W19" s="66"/>
    </row>
    <row r="20" spans="1:26" x14ac:dyDescent="0.25">
      <c r="A20" s="62"/>
      <c r="B20" s="62"/>
      <c r="C20" s="62"/>
      <c r="D20" s="62"/>
      <c r="E20" s="62"/>
      <c r="F20" s="62"/>
      <c r="G20" s="62"/>
      <c r="H20" s="62"/>
      <c r="I20" s="61">
        <v>17</v>
      </c>
      <c r="J20" s="55">
        <v>11001111</v>
      </c>
      <c r="K20" s="62"/>
      <c r="L20" s="66">
        <v>5</v>
      </c>
      <c r="M20" s="66">
        <v>11</v>
      </c>
      <c r="N20" s="66">
        <v>1100</v>
      </c>
      <c r="O20" s="66">
        <v>1</v>
      </c>
      <c r="P20" s="66">
        <v>1</v>
      </c>
      <c r="Q20" s="66">
        <v>19</v>
      </c>
      <c r="R20" s="66">
        <v>20</v>
      </c>
      <c r="S20" s="66"/>
      <c r="T20" s="66"/>
      <c r="U20" s="66">
        <v>1</v>
      </c>
      <c r="V20" s="66"/>
      <c r="W20" s="66"/>
      <c r="Z20" s="75"/>
    </row>
    <row r="21" spans="1:26" x14ac:dyDescent="0.25">
      <c r="A21" s="71" t="s">
        <v>121</v>
      </c>
      <c r="B21" s="72" t="s">
        <v>13</v>
      </c>
      <c r="C21" s="73" t="s">
        <v>113</v>
      </c>
      <c r="D21" s="73" t="s">
        <v>114</v>
      </c>
      <c r="E21" s="73" t="s">
        <v>117</v>
      </c>
      <c r="F21" s="73" t="s">
        <v>180</v>
      </c>
      <c r="G21" s="74" t="s">
        <v>183</v>
      </c>
      <c r="H21" s="62"/>
      <c r="I21" s="61">
        <v>18</v>
      </c>
      <c r="J21" s="55"/>
      <c r="K21" s="62"/>
      <c r="L21" s="66">
        <v>6</v>
      </c>
      <c r="M21" s="66">
        <v>13</v>
      </c>
      <c r="N21" s="66">
        <v>1011000</v>
      </c>
      <c r="O21" s="66">
        <v>1</v>
      </c>
      <c r="P21" s="66">
        <v>1</v>
      </c>
      <c r="Q21" s="66">
        <v>19</v>
      </c>
      <c r="R21" s="66">
        <v>20</v>
      </c>
      <c r="S21" s="66"/>
      <c r="T21" s="66"/>
      <c r="U21" s="66">
        <v>1</v>
      </c>
      <c r="V21" s="66"/>
      <c r="W21" s="66"/>
      <c r="Z21" s="75"/>
    </row>
    <row r="22" spans="1:26" x14ac:dyDescent="0.25">
      <c r="A22" s="78">
        <v>0</v>
      </c>
      <c r="B22" s="68" t="s">
        <v>34</v>
      </c>
      <c r="C22" s="67"/>
      <c r="D22" s="67" t="s">
        <v>8</v>
      </c>
      <c r="E22" s="67" t="s">
        <v>207</v>
      </c>
      <c r="F22" s="57">
        <f>BIN2DEC(E22)</f>
        <v>0</v>
      </c>
      <c r="G22" s="64" t="str">
        <f>DEC2BIN(F22)</f>
        <v>0</v>
      </c>
      <c r="H22" s="62"/>
      <c r="I22" s="61">
        <v>19</v>
      </c>
      <c r="J22" s="55">
        <v>377</v>
      </c>
      <c r="K22" s="62"/>
      <c r="L22" s="66">
        <v>7</v>
      </c>
      <c r="M22" s="66">
        <v>15</v>
      </c>
      <c r="N22" s="66">
        <v>1000000</v>
      </c>
      <c r="O22" s="66">
        <v>1</v>
      </c>
      <c r="P22" s="66">
        <v>1</v>
      </c>
      <c r="Q22" s="66">
        <v>19</v>
      </c>
      <c r="R22" s="66">
        <v>20</v>
      </c>
      <c r="S22" s="66"/>
      <c r="T22" s="66"/>
      <c r="U22" s="66">
        <v>1</v>
      </c>
      <c r="V22" s="66"/>
      <c r="W22" s="66"/>
      <c r="Z22" s="75"/>
    </row>
    <row r="23" spans="1:26" x14ac:dyDescent="0.25">
      <c r="A23" s="78">
        <v>1</v>
      </c>
      <c r="B23" s="68" t="s">
        <v>34</v>
      </c>
      <c r="C23" s="67"/>
      <c r="D23" s="67" t="s">
        <v>9</v>
      </c>
      <c r="E23" s="67" t="s">
        <v>147</v>
      </c>
      <c r="F23" s="57">
        <f t="shared" ref="F23:F35" si="2">BIN2DEC(E23)</f>
        <v>1</v>
      </c>
      <c r="G23" s="64" t="str">
        <f t="shared" ref="G23:G29" si="3">DEC2BIN(F23)</f>
        <v>1</v>
      </c>
      <c r="H23" s="62"/>
      <c r="I23" s="61">
        <v>20</v>
      </c>
      <c r="J23" s="55">
        <v>233</v>
      </c>
      <c r="K23" s="62"/>
      <c r="L23" s="66">
        <v>8</v>
      </c>
      <c r="M23" s="66">
        <v>17</v>
      </c>
      <c r="N23" s="66">
        <v>11001111</v>
      </c>
      <c r="O23" s="66">
        <v>1</v>
      </c>
      <c r="P23" s="66">
        <v>1</v>
      </c>
      <c r="Q23" s="66">
        <v>19</v>
      </c>
      <c r="R23" s="66">
        <v>20</v>
      </c>
      <c r="S23" s="66"/>
      <c r="T23" s="66"/>
      <c r="U23" s="66">
        <v>1</v>
      </c>
      <c r="V23" s="66"/>
      <c r="W23" s="66"/>
      <c r="Z23" s="75"/>
    </row>
    <row r="24" spans="1:26" x14ac:dyDescent="0.25">
      <c r="A24" s="78">
        <v>2</v>
      </c>
      <c r="B24" s="69" t="s">
        <v>34</v>
      </c>
      <c r="C24" s="70"/>
      <c r="D24" s="70" t="s">
        <v>10</v>
      </c>
      <c r="E24" s="70" t="s">
        <v>213</v>
      </c>
      <c r="F24" s="57">
        <f t="shared" si="2"/>
        <v>19</v>
      </c>
      <c r="G24" s="64" t="str">
        <f t="shared" si="3"/>
        <v>10011</v>
      </c>
      <c r="H24" s="62"/>
      <c r="I24" s="61">
        <v>21</v>
      </c>
      <c r="J24" s="55"/>
      <c r="K24" s="62"/>
      <c r="L24" s="66">
        <v>9</v>
      </c>
      <c r="M24" s="66">
        <v>17</v>
      </c>
      <c r="N24" s="66">
        <v>11001111</v>
      </c>
      <c r="O24" s="66">
        <v>1</v>
      </c>
      <c r="P24" s="66">
        <v>1</v>
      </c>
      <c r="Q24" s="66">
        <v>19</v>
      </c>
      <c r="R24" s="66">
        <v>20</v>
      </c>
      <c r="S24" s="66"/>
      <c r="T24" s="66"/>
      <c r="U24" s="66">
        <v>1</v>
      </c>
      <c r="V24" s="66"/>
      <c r="W24" s="66"/>
      <c r="Z24" s="75"/>
    </row>
    <row r="25" spans="1:26" x14ac:dyDescent="0.25">
      <c r="A25" s="78">
        <v>3</v>
      </c>
      <c r="B25" s="69" t="s">
        <v>34</v>
      </c>
      <c r="C25" s="70"/>
      <c r="D25" s="70" t="s">
        <v>11</v>
      </c>
      <c r="E25" s="70">
        <v>10100</v>
      </c>
      <c r="F25" s="57">
        <f t="shared" si="2"/>
        <v>20</v>
      </c>
      <c r="G25" s="64" t="str">
        <f t="shared" si="3"/>
        <v>10100</v>
      </c>
      <c r="H25" s="62"/>
      <c r="I25" s="61">
        <v>22</v>
      </c>
      <c r="J25" s="55"/>
      <c r="K25" s="62"/>
      <c r="L25" s="66">
        <v>10</v>
      </c>
      <c r="M25" s="66">
        <v>8</v>
      </c>
      <c r="N25" s="66">
        <v>10000100</v>
      </c>
      <c r="O25" s="66">
        <v>1</v>
      </c>
      <c r="P25" s="66">
        <v>1</v>
      </c>
      <c r="Q25" s="66">
        <v>19</v>
      </c>
      <c r="R25" s="66">
        <v>20</v>
      </c>
      <c r="S25" s="66"/>
      <c r="T25" s="66"/>
      <c r="U25" s="66">
        <v>1</v>
      </c>
      <c r="V25" s="66"/>
      <c r="W25" s="66"/>
      <c r="Z25" s="75"/>
    </row>
    <row r="26" spans="1:26" x14ac:dyDescent="0.25">
      <c r="A26" s="78">
        <v>4</v>
      </c>
      <c r="B26" s="69" t="s">
        <v>0</v>
      </c>
      <c r="C26" s="70" t="s">
        <v>9</v>
      </c>
      <c r="D26" s="70" t="s">
        <v>8</v>
      </c>
      <c r="E26" s="70"/>
      <c r="F26" s="57">
        <f t="shared" si="2"/>
        <v>0</v>
      </c>
      <c r="G26" s="64" t="str">
        <f t="shared" si="3"/>
        <v>0</v>
      </c>
      <c r="H26" s="62"/>
      <c r="I26" s="61">
        <v>23</v>
      </c>
      <c r="J26" s="55"/>
      <c r="K26" s="62"/>
      <c r="L26" s="66">
        <v>4</v>
      </c>
      <c r="M26" s="66">
        <v>9</v>
      </c>
      <c r="N26" s="66">
        <v>11000</v>
      </c>
      <c r="O26" s="66">
        <v>2</v>
      </c>
      <c r="P26" s="66">
        <v>1</v>
      </c>
      <c r="Q26" s="66">
        <v>19</v>
      </c>
      <c r="R26" s="66">
        <v>20</v>
      </c>
      <c r="S26" s="66"/>
      <c r="T26" s="66"/>
      <c r="U26" s="66">
        <v>1</v>
      </c>
      <c r="V26" s="66">
        <v>1</v>
      </c>
      <c r="W26" s="66"/>
      <c r="Z26" s="75"/>
    </row>
    <row r="27" spans="1:26" x14ac:dyDescent="0.25">
      <c r="A27" s="78">
        <v>5</v>
      </c>
      <c r="B27" s="69" t="s">
        <v>17</v>
      </c>
      <c r="C27" s="70" t="s">
        <v>10</v>
      </c>
      <c r="D27" s="70" t="s">
        <v>8</v>
      </c>
      <c r="E27" s="70"/>
      <c r="F27" s="57">
        <f t="shared" si="2"/>
        <v>0</v>
      </c>
      <c r="G27" s="64" t="str">
        <f t="shared" si="3"/>
        <v>0</v>
      </c>
      <c r="H27" s="62"/>
      <c r="I27" s="61">
        <v>24</v>
      </c>
      <c r="J27" s="55"/>
      <c r="K27" s="62"/>
      <c r="L27" s="66">
        <v>5</v>
      </c>
      <c r="M27" s="66">
        <v>11</v>
      </c>
      <c r="N27" s="66">
        <v>1100</v>
      </c>
      <c r="O27" s="66">
        <v>2</v>
      </c>
      <c r="P27" s="66">
        <v>1</v>
      </c>
      <c r="Q27" s="66">
        <v>19</v>
      </c>
      <c r="R27" s="66">
        <v>20</v>
      </c>
      <c r="S27" s="66"/>
      <c r="T27" s="66"/>
      <c r="U27" s="66">
        <v>1</v>
      </c>
      <c r="V27" s="66">
        <v>1</v>
      </c>
      <c r="W27" s="66"/>
      <c r="Z27" s="75"/>
    </row>
    <row r="28" spans="1:26" x14ac:dyDescent="0.25">
      <c r="A28" s="78">
        <v>6</v>
      </c>
      <c r="B28" s="69" t="s">
        <v>17</v>
      </c>
      <c r="C28" s="70" t="s">
        <v>11</v>
      </c>
      <c r="D28" s="70" t="s">
        <v>9</v>
      </c>
      <c r="E28" s="70"/>
      <c r="F28" s="57">
        <f t="shared" si="2"/>
        <v>0</v>
      </c>
      <c r="G28" s="64" t="str">
        <f t="shared" si="3"/>
        <v>0</v>
      </c>
      <c r="H28" s="62"/>
      <c r="I28" s="61">
        <v>25</v>
      </c>
      <c r="J28" s="55"/>
      <c r="K28" s="62"/>
      <c r="L28" s="66">
        <v>6</v>
      </c>
      <c r="M28" s="66">
        <v>13</v>
      </c>
      <c r="N28" s="66">
        <v>1011000</v>
      </c>
      <c r="O28" s="66">
        <v>2</v>
      </c>
      <c r="P28" s="66">
        <v>1</v>
      </c>
      <c r="Q28" s="66">
        <v>19</v>
      </c>
      <c r="R28" s="66">
        <v>20</v>
      </c>
      <c r="S28" s="66"/>
      <c r="T28" s="66"/>
      <c r="U28" s="66">
        <v>1</v>
      </c>
      <c r="V28" s="66">
        <v>1</v>
      </c>
      <c r="W28" s="66"/>
      <c r="Z28" s="75"/>
    </row>
    <row r="29" spans="1:26" x14ac:dyDescent="0.25">
      <c r="A29" s="78">
        <v>7</v>
      </c>
      <c r="B29" s="69" t="s">
        <v>14</v>
      </c>
      <c r="C29" s="70" t="s">
        <v>11</v>
      </c>
      <c r="D29" s="70" t="s">
        <v>8</v>
      </c>
      <c r="E29" s="70"/>
      <c r="F29" s="57">
        <f t="shared" si="2"/>
        <v>0</v>
      </c>
      <c r="G29" s="64" t="str">
        <f t="shared" si="3"/>
        <v>0</v>
      </c>
      <c r="H29" s="62"/>
      <c r="I29" s="61">
        <v>26</v>
      </c>
      <c r="J29" s="55"/>
      <c r="K29" s="62"/>
      <c r="L29" s="66">
        <v>7</v>
      </c>
      <c r="M29" s="66">
        <v>15</v>
      </c>
      <c r="N29" s="66">
        <v>1000000</v>
      </c>
      <c r="O29" s="66">
        <v>1</v>
      </c>
      <c r="P29" s="66">
        <v>1</v>
      </c>
      <c r="Q29" s="66">
        <v>19</v>
      </c>
      <c r="R29" s="66">
        <v>20</v>
      </c>
      <c r="S29" s="66"/>
      <c r="T29" s="66"/>
      <c r="U29" s="66">
        <v>1</v>
      </c>
      <c r="V29" s="66">
        <v>1</v>
      </c>
      <c r="W29" s="66"/>
      <c r="Z29" s="75"/>
    </row>
    <row r="30" spans="1:26" x14ac:dyDescent="0.25">
      <c r="A30" s="78">
        <v>8</v>
      </c>
      <c r="B30" s="69" t="s">
        <v>14</v>
      </c>
      <c r="C30" s="70" t="s">
        <v>10</v>
      </c>
      <c r="D30" s="70" t="s">
        <v>9</v>
      </c>
      <c r="E30" s="70"/>
      <c r="F30" s="57">
        <f t="shared" si="2"/>
        <v>0</v>
      </c>
      <c r="G30" s="64" t="str">
        <f t="shared" ref="G30:G37" si="4">DEC2BIN(F30)</f>
        <v>0</v>
      </c>
      <c r="H30" s="62"/>
      <c r="I30" s="61">
        <v>27</v>
      </c>
      <c r="J30" s="55"/>
      <c r="K30" s="62"/>
      <c r="L30" s="66">
        <v>8</v>
      </c>
      <c r="M30" s="66">
        <v>17</v>
      </c>
      <c r="N30" s="66">
        <v>11001111</v>
      </c>
      <c r="O30" s="66">
        <v>1</v>
      </c>
      <c r="P30" s="66">
        <v>2</v>
      </c>
      <c r="Q30" s="66">
        <v>19</v>
      </c>
      <c r="R30" s="66">
        <v>20</v>
      </c>
      <c r="S30" s="66"/>
      <c r="T30" s="66"/>
      <c r="U30" s="66">
        <v>1</v>
      </c>
      <c r="V30" s="66">
        <v>1</v>
      </c>
      <c r="W30" s="66"/>
      <c r="Z30" s="75"/>
    </row>
    <row r="31" spans="1:26" x14ac:dyDescent="0.25">
      <c r="A31" s="78">
        <v>9</v>
      </c>
      <c r="B31" s="69" t="s">
        <v>47</v>
      </c>
      <c r="C31" s="70"/>
      <c r="D31" s="70"/>
      <c r="E31" s="70" t="s">
        <v>208</v>
      </c>
      <c r="F31" s="57">
        <f t="shared" si="2"/>
        <v>17</v>
      </c>
      <c r="G31" s="64" t="str">
        <f t="shared" si="4"/>
        <v>10001</v>
      </c>
      <c r="H31" s="62"/>
      <c r="I31" s="61">
        <v>28</v>
      </c>
      <c r="J31" s="55"/>
      <c r="K31" s="62"/>
      <c r="L31" s="66">
        <v>9</v>
      </c>
      <c r="M31" s="66">
        <v>17</v>
      </c>
      <c r="N31" s="66">
        <v>11001111</v>
      </c>
      <c r="O31" s="66">
        <v>1</v>
      </c>
      <c r="P31" s="66">
        <v>2</v>
      </c>
      <c r="Q31" s="66">
        <v>19</v>
      </c>
      <c r="R31" s="66">
        <v>20</v>
      </c>
      <c r="S31" s="66"/>
      <c r="T31" s="66"/>
      <c r="U31" s="66">
        <v>1</v>
      </c>
      <c r="V31" s="66">
        <v>1</v>
      </c>
      <c r="W31" s="66"/>
      <c r="Z31" s="75"/>
    </row>
    <row r="32" spans="1:26" x14ac:dyDescent="0.25">
      <c r="A32" s="78">
        <v>10</v>
      </c>
      <c r="B32" s="69" t="s">
        <v>38</v>
      </c>
      <c r="C32" s="70"/>
      <c r="D32" s="70"/>
      <c r="E32" s="70" t="s">
        <v>211</v>
      </c>
      <c r="F32" s="57">
        <f t="shared" si="2"/>
        <v>8</v>
      </c>
      <c r="G32" s="64" t="str">
        <f t="shared" si="4"/>
        <v>1000</v>
      </c>
      <c r="H32" s="62"/>
      <c r="I32" s="61">
        <v>29</v>
      </c>
      <c r="J32" s="55"/>
      <c r="K32" s="62"/>
      <c r="L32" s="66">
        <v>10</v>
      </c>
      <c r="M32" s="66">
        <v>8</v>
      </c>
      <c r="N32" s="66">
        <v>10000100</v>
      </c>
      <c r="O32" s="66">
        <v>1</v>
      </c>
      <c r="P32" s="66">
        <v>2</v>
      </c>
      <c r="Q32" s="66">
        <v>19</v>
      </c>
      <c r="R32" s="66">
        <v>20</v>
      </c>
      <c r="S32" s="66"/>
      <c r="T32" s="66"/>
      <c r="U32" s="66">
        <v>1</v>
      </c>
      <c r="V32" s="66">
        <v>1</v>
      </c>
      <c r="W32" s="66"/>
      <c r="Z32" s="75"/>
    </row>
    <row r="33" spans="1:26" x14ac:dyDescent="0.25">
      <c r="A33" s="78">
        <v>11</v>
      </c>
      <c r="B33" s="69" t="s">
        <v>145</v>
      </c>
      <c r="C33" s="70"/>
      <c r="D33" s="70"/>
      <c r="E33" s="70"/>
      <c r="F33" s="57">
        <f t="shared" si="2"/>
        <v>0</v>
      </c>
      <c r="G33" s="64" t="str">
        <f t="shared" si="4"/>
        <v>0</v>
      </c>
      <c r="H33" s="62"/>
      <c r="I33" s="61">
        <v>30</v>
      </c>
      <c r="J33" s="55"/>
      <c r="K33" s="62"/>
      <c r="L33" s="66">
        <v>4</v>
      </c>
      <c r="M33" s="66">
        <v>9</v>
      </c>
      <c r="N33" s="66">
        <v>11000</v>
      </c>
      <c r="O33" s="66">
        <v>3</v>
      </c>
      <c r="P33" s="66">
        <v>2</v>
      </c>
      <c r="Q33" s="66">
        <v>19</v>
      </c>
      <c r="R33" s="66">
        <v>20</v>
      </c>
      <c r="S33" s="66"/>
      <c r="T33" s="66"/>
      <c r="U33" s="66">
        <v>1</v>
      </c>
      <c r="V33" s="66">
        <v>1</v>
      </c>
      <c r="W33" s="66"/>
      <c r="Z33" s="75"/>
    </row>
    <row r="34" spans="1:26" x14ac:dyDescent="0.25">
      <c r="A34" s="78">
        <v>12</v>
      </c>
      <c r="B34" s="69"/>
      <c r="C34" s="70"/>
      <c r="D34" s="70"/>
      <c r="E34" s="70"/>
      <c r="F34" s="57">
        <f t="shared" si="2"/>
        <v>0</v>
      </c>
      <c r="G34" s="64" t="str">
        <f t="shared" si="4"/>
        <v>0</v>
      </c>
      <c r="H34" s="62"/>
      <c r="I34" s="61">
        <v>31</v>
      </c>
      <c r="J34" s="55"/>
      <c r="K34" s="62"/>
      <c r="L34" s="66">
        <v>5</v>
      </c>
      <c r="M34" s="66">
        <v>11</v>
      </c>
      <c r="N34" s="66">
        <v>1100</v>
      </c>
      <c r="O34" s="66">
        <v>3</v>
      </c>
      <c r="P34" s="66">
        <v>2</v>
      </c>
      <c r="Q34" s="66">
        <v>19</v>
      </c>
      <c r="R34" s="66">
        <v>20</v>
      </c>
      <c r="S34" s="66"/>
      <c r="T34" s="66"/>
      <c r="U34" s="66">
        <v>1</v>
      </c>
      <c r="V34" s="66">
        <v>1</v>
      </c>
      <c r="W34" s="66"/>
      <c r="Z34" s="75"/>
    </row>
    <row r="35" spans="1:26" x14ac:dyDescent="0.25">
      <c r="A35" s="78">
        <v>13</v>
      </c>
      <c r="B35" s="69"/>
      <c r="C35" s="70"/>
      <c r="D35" s="70"/>
      <c r="E35" s="70"/>
      <c r="F35" s="57">
        <f t="shared" si="2"/>
        <v>0</v>
      </c>
      <c r="G35" s="64" t="str">
        <f t="shared" si="4"/>
        <v>0</v>
      </c>
      <c r="H35" s="62"/>
      <c r="I35" s="61">
        <v>32</v>
      </c>
      <c r="J35" s="55"/>
      <c r="K35" s="62"/>
      <c r="L35" s="66">
        <v>6</v>
      </c>
      <c r="M35" s="66">
        <v>13</v>
      </c>
      <c r="N35" s="66">
        <v>1011000</v>
      </c>
      <c r="O35" s="66">
        <v>3</v>
      </c>
      <c r="P35" s="66">
        <v>2</v>
      </c>
      <c r="Q35" s="66">
        <v>19</v>
      </c>
      <c r="R35" s="66">
        <v>20</v>
      </c>
      <c r="S35" s="66"/>
      <c r="T35" s="66"/>
      <c r="U35" s="66">
        <v>1</v>
      </c>
      <c r="V35" s="66">
        <v>1</v>
      </c>
      <c r="W35" s="66"/>
    </row>
    <row r="36" spans="1:26" x14ac:dyDescent="0.25">
      <c r="A36" s="78">
        <v>14</v>
      </c>
      <c r="B36" s="69"/>
      <c r="C36" s="70"/>
      <c r="D36" s="70"/>
      <c r="E36" s="70"/>
      <c r="F36" s="57">
        <f>BIN2DEC(E36)</f>
        <v>0</v>
      </c>
      <c r="G36" s="64" t="str">
        <f t="shared" si="4"/>
        <v>0</v>
      </c>
      <c r="H36" s="62"/>
      <c r="I36" s="61">
        <v>33</v>
      </c>
      <c r="J36" s="55"/>
      <c r="K36" s="62"/>
      <c r="L36" s="66">
        <v>7</v>
      </c>
      <c r="M36" s="66">
        <v>15</v>
      </c>
      <c r="N36" s="66">
        <v>1000000</v>
      </c>
      <c r="O36" s="66">
        <v>2</v>
      </c>
      <c r="P36" s="66">
        <v>2</v>
      </c>
      <c r="Q36" s="66">
        <v>19</v>
      </c>
      <c r="R36" s="66">
        <v>20</v>
      </c>
      <c r="S36" s="66"/>
      <c r="T36" s="66"/>
      <c r="U36" s="66">
        <v>1</v>
      </c>
      <c r="V36" s="66">
        <v>1</v>
      </c>
      <c r="W36" s="66"/>
    </row>
    <row r="37" spans="1:26" x14ac:dyDescent="0.25">
      <c r="A37" s="78">
        <v>15</v>
      </c>
      <c r="B37" s="69"/>
      <c r="C37" s="70"/>
      <c r="D37" s="70"/>
      <c r="E37" s="70"/>
      <c r="F37" s="57">
        <f>BIN2DEC(E37)</f>
        <v>0</v>
      </c>
      <c r="G37" s="64" t="str">
        <f t="shared" si="4"/>
        <v>0</v>
      </c>
      <c r="H37" s="62"/>
      <c r="I37" s="61">
        <v>34</v>
      </c>
      <c r="J37" s="55"/>
      <c r="K37" s="62"/>
      <c r="L37" s="66">
        <v>8</v>
      </c>
      <c r="M37" s="66">
        <v>17</v>
      </c>
      <c r="N37" s="66">
        <v>11001111</v>
      </c>
      <c r="O37" s="66">
        <v>2</v>
      </c>
      <c r="P37" s="66">
        <v>3</v>
      </c>
      <c r="Q37" s="66">
        <v>19</v>
      </c>
      <c r="R37" s="66">
        <v>20</v>
      </c>
      <c r="S37" s="66"/>
      <c r="T37" s="66"/>
      <c r="U37" s="66">
        <v>1</v>
      </c>
      <c r="V37" s="66">
        <v>1</v>
      </c>
      <c r="W37" s="66"/>
    </row>
    <row r="38" spans="1:26" x14ac:dyDescent="0.25">
      <c r="A38" s="62"/>
      <c r="B38" s="62"/>
      <c r="C38" s="62"/>
      <c r="D38" s="62"/>
      <c r="E38" s="62"/>
      <c r="F38" s="62"/>
      <c r="G38" s="62"/>
      <c r="H38" s="62"/>
      <c r="I38" s="61">
        <v>35</v>
      </c>
      <c r="J38" s="55"/>
      <c r="K38" s="62"/>
      <c r="L38" s="66">
        <v>9</v>
      </c>
      <c r="M38" s="66">
        <v>17</v>
      </c>
      <c r="N38" s="66">
        <v>11001111</v>
      </c>
      <c r="O38" s="66">
        <v>2</v>
      </c>
      <c r="P38" s="66">
        <v>3</v>
      </c>
      <c r="Q38" s="66">
        <v>19</v>
      </c>
      <c r="R38" s="66">
        <v>20</v>
      </c>
      <c r="S38" s="66"/>
      <c r="T38" s="66"/>
      <c r="U38" s="66">
        <v>1</v>
      </c>
      <c r="V38" s="66">
        <v>1</v>
      </c>
      <c r="W38" s="66"/>
    </row>
    <row r="39" spans="1:26" x14ac:dyDescent="0.25">
      <c r="A39" s="62"/>
      <c r="B39" s="62"/>
      <c r="C39" s="62"/>
      <c r="D39" s="62"/>
      <c r="E39" s="62"/>
      <c r="F39" s="62"/>
      <c r="G39" s="62"/>
      <c r="H39" s="62"/>
      <c r="I39" s="61">
        <v>36</v>
      </c>
      <c r="J39" s="55"/>
      <c r="K39" s="62"/>
      <c r="L39" s="66">
        <v>10</v>
      </c>
      <c r="M39" s="66">
        <v>8</v>
      </c>
      <c r="N39" s="66">
        <v>10000100</v>
      </c>
      <c r="O39" s="66">
        <v>2</v>
      </c>
      <c r="P39" s="66">
        <v>3</v>
      </c>
      <c r="Q39" s="66">
        <v>19</v>
      </c>
      <c r="R39" s="66">
        <v>20</v>
      </c>
      <c r="S39" s="66"/>
      <c r="T39" s="66"/>
      <c r="U39" s="66">
        <v>1</v>
      </c>
      <c r="V39" s="66">
        <v>1</v>
      </c>
      <c r="W39" s="66"/>
    </row>
    <row r="40" spans="1:26" x14ac:dyDescent="0.25">
      <c r="A40" s="62"/>
      <c r="B40" s="62"/>
      <c r="C40" s="62"/>
      <c r="D40" s="62"/>
      <c r="E40" s="62"/>
      <c r="F40" s="62"/>
      <c r="G40" s="62"/>
      <c r="H40" s="62"/>
      <c r="I40" s="61">
        <v>37</v>
      </c>
      <c r="J40" s="55"/>
      <c r="K40" s="62"/>
      <c r="L40" s="66">
        <v>4</v>
      </c>
      <c r="M40" s="66">
        <v>9</v>
      </c>
      <c r="N40" s="66">
        <v>11000</v>
      </c>
      <c r="O40" s="66">
        <v>5</v>
      </c>
      <c r="P40" s="66">
        <v>3</v>
      </c>
      <c r="Q40" s="66">
        <v>19</v>
      </c>
      <c r="R40" s="66">
        <v>20</v>
      </c>
      <c r="S40" s="66"/>
      <c r="T40" s="66"/>
      <c r="U40" s="66">
        <v>1</v>
      </c>
      <c r="V40" s="66">
        <v>1</v>
      </c>
      <c r="W40" s="66"/>
    </row>
    <row r="41" spans="1:26" x14ac:dyDescent="0.25">
      <c r="A41" s="62"/>
      <c r="B41" s="62"/>
      <c r="C41" s="62"/>
      <c r="D41" s="62"/>
      <c r="E41" s="62"/>
      <c r="F41" s="62"/>
      <c r="G41" s="62"/>
      <c r="H41" s="62"/>
      <c r="I41" s="61">
        <v>38</v>
      </c>
      <c r="J41" s="55"/>
      <c r="K41" s="62"/>
      <c r="L41" s="66">
        <v>5</v>
      </c>
      <c r="M41" s="66">
        <v>11</v>
      </c>
      <c r="N41" s="66">
        <v>1100</v>
      </c>
      <c r="O41" s="66">
        <v>5</v>
      </c>
      <c r="P41" s="66">
        <v>3</v>
      </c>
      <c r="Q41" s="66">
        <v>19</v>
      </c>
      <c r="R41" s="66">
        <v>20</v>
      </c>
      <c r="S41" s="66"/>
      <c r="T41" s="66"/>
      <c r="U41" s="66">
        <v>1</v>
      </c>
      <c r="V41" s="66">
        <v>1</v>
      </c>
      <c r="W41" s="66"/>
    </row>
    <row r="42" spans="1:26" x14ac:dyDescent="0.25">
      <c r="A42" s="62"/>
      <c r="B42" s="62"/>
      <c r="C42" s="62"/>
      <c r="D42" s="62"/>
      <c r="E42" s="62"/>
      <c r="F42" s="62"/>
      <c r="G42" s="62"/>
      <c r="H42" s="62"/>
      <c r="I42" s="61">
        <v>39</v>
      </c>
      <c r="J42" s="55"/>
      <c r="K42" s="62"/>
      <c r="L42" s="66">
        <v>6</v>
      </c>
      <c r="M42" s="66">
        <v>13</v>
      </c>
      <c r="N42" s="66">
        <v>1011000</v>
      </c>
      <c r="O42" s="66">
        <v>5</v>
      </c>
      <c r="P42" s="66">
        <v>3</v>
      </c>
      <c r="Q42" s="66">
        <v>19</v>
      </c>
      <c r="R42" s="66">
        <v>20</v>
      </c>
      <c r="S42" s="66"/>
      <c r="T42" s="66"/>
      <c r="U42" s="66">
        <v>1</v>
      </c>
      <c r="V42" s="66">
        <v>1</v>
      </c>
      <c r="W42" s="66"/>
    </row>
    <row r="43" spans="1:26" x14ac:dyDescent="0.25">
      <c r="A43" s="62"/>
      <c r="B43" s="62"/>
      <c r="C43" s="62"/>
      <c r="D43" s="62"/>
      <c r="E43" s="62"/>
      <c r="F43" s="62"/>
      <c r="G43" s="62"/>
      <c r="H43" s="62"/>
      <c r="I43" s="61">
        <v>40</v>
      </c>
      <c r="J43" s="55"/>
      <c r="K43" s="62"/>
      <c r="L43" s="66">
        <v>7</v>
      </c>
      <c r="M43" s="66">
        <v>15</v>
      </c>
      <c r="N43" s="66">
        <v>1000000</v>
      </c>
      <c r="O43" s="66">
        <v>3</v>
      </c>
      <c r="P43" s="66">
        <v>3</v>
      </c>
      <c r="Q43" s="66">
        <v>19</v>
      </c>
      <c r="R43" s="66">
        <v>20</v>
      </c>
      <c r="S43" s="66"/>
      <c r="T43" s="66"/>
      <c r="U43" s="66">
        <v>1</v>
      </c>
      <c r="V43" s="66">
        <v>1</v>
      </c>
      <c r="W43" s="66"/>
    </row>
    <row r="44" spans="1:26" x14ac:dyDescent="0.25">
      <c r="A44" s="62"/>
      <c r="B44" s="62"/>
      <c r="C44" s="62"/>
      <c r="D44" s="62"/>
      <c r="E44" s="62"/>
      <c r="F44" s="62"/>
      <c r="G44" s="62"/>
      <c r="H44" s="62"/>
      <c r="I44" s="61">
        <v>41</v>
      </c>
      <c r="J44" s="55"/>
      <c r="K44" s="62"/>
      <c r="L44" s="66">
        <v>8</v>
      </c>
      <c r="M44" s="66">
        <v>17</v>
      </c>
      <c r="N44" s="66">
        <v>11001111</v>
      </c>
      <c r="O44" s="66">
        <v>3</v>
      </c>
      <c r="P44" s="66">
        <v>5</v>
      </c>
      <c r="Q44" s="66">
        <v>19</v>
      </c>
      <c r="R44" s="66">
        <v>20</v>
      </c>
      <c r="S44" s="66"/>
      <c r="T44" s="66"/>
      <c r="U44" s="66">
        <v>1</v>
      </c>
      <c r="V44" s="66">
        <v>1</v>
      </c>
      <c r="W44" s="66"/>
    </row>
    <row r="45" spans="1:26" x14ac:dyDescent="0.25">
      <c r="A45" s="62"/>
      <c r="B45" s="62"/>
      <c r="C45" s="62"/>
      <c r="D45" s="62"/>
      <c r="E45" s="62"/>
      <c r="F45" s="62"/>
      <c r="G45" s="62"/>
      <c r="H45" s="62"/>
      <c r="I45" s="61">
        <v>42</v>
      </c>
      <c r="J45" s="55"/>
      <c r="K45" s="62"/>
      <c r="L45" s="66">
        <v>9</v>
      </c>
      <c r="M45" s="66">
        <v>17</v>
      </c>
      <c r="N45" s="66">
        <v>11001111</v>
      </c>
      <c r="O45" s="66">
        <v>3</v>
      </c>
      <c r="P45" s="66">
        <v>5</v>
      </c>
      <c r="Q45" s="66">
        <v>19</v>
      </c>
      <c r="R45" s="66">
        <v>20</v>
      </c>
      <c r="S45" s="66"/>
      <c r="T45" s="66"/>
      <c r="U45" s="66">
        <v>1</v>
      </c>
      <c r="V45" s="66">
        <v>1</v>
      </c>
      <c r="W45" s="66"/>
    </row>
    <row r="46" spans="1:26" x14ac:dyDescent="0.25">
      <c r="A46" s="62"/>
      <c r="B46" s="62"/>
      <c r="C46" s="62"/>
      <c r="D46" s="62"/>
      <c r="E46" s="62"/>
      <c r="F46" s="62"/>
      <c r="G46" s="62"/>
      <c r="H46" s="62"/>
      <c r="I46" s="61">
        <v>43</v>
      </c>
      <c r="J46" s="55"/>
      <c r="K46" s="62"/>
      <c r="L46" s="66">
        <v>10</v>
      </c>
      <c r="M46" s="66">
        <v>8</v>
      </c>
      <c r="N46" s="66">
        <v>10000100</v>
      </c>
      <c r="O46" s="66">
        <v>3</v>
      </c>
      <c r="P46" s="66">
        <v>5</v>
      </c>
      <c r="Q46" s="66">
        <v>19</v>
      </c>
      <c r="R46" s="66">
        <v>20</v>
      </c>
      <c r="S46" s="66"/>
      <c r="T46" s="66"/>
      <c r="U46" s="66">
        <v>1</v>
      </c>
      <c r="V46" s="66">
        <v>1</v>
      </c>
      <c r="W46" s="66"/>
    </row>
    <row r="47" spans="1:26" x14ac:dyDescent="0.25">
      <c r="I47" s="61">
        <v>44</v>
      </c>
      <c r="J47" s="55"/>
      <c r="L47" s="66">
        <v>4</v>
      </c>
      <c r="M47" s="66">
        <v>9</v>
      </c>
      <c r="N47" s="66">
        <v>11000</v>
      </c>
      <c r="O47" s="66">
        <v>8</v>
      </c>
      <c r="P47" s="66">
        <v>5</v>
      </c>
      <c r="Q47" s="66">
        <v>19</v>
      </c>
      <c r="R47" s="66">
        <v>20</v>
      </c>
      <c r="S47" s="66"/>
      <c r="T47" s="66"/>
      <c r="U47" s="66">
        <v>1</v>
      </c>
      <c r="V47" s="66">
        <v>1</v>
      </c>
      <c r="W47" s="66"/>
    </row>
    <row r="48" spans="1:26" x14ac:dyDescent="0.25">
      <c r="I48" s="61">
        <v>45</v>
      </c>
      <c r="J48" s="55"/>
      <c r="L48" s="66">
        <v>5</v>
      </c>
      <c r="M48" s="66">
        <v>11</v>
      </c>
      <c r="N48" s="66">
        <v>1100</v>
      </c>
      <c r="O48" s="66">
        <v>8</v>
      </c>
      <c r="P48" s="66">
        <v>5</v>
      </c>
      <c r="Q48" s="66">
        <v>19</v>
      </c>
      <c r="R48" s="66">
        <v>20</v>
      </c>
      <c r="S48" s="66"/>
      <c r="T48" s="66"/>
      <c r="U48" s="66">
        <v>1</v>
      </c>
      <c r="V48" s="66">
        <v>1</v>
      </c>
      <c r="W48" s="66"/>
    </row>
    <row r="49" spans="9:23" x14ac:dyDescent="0.25">
      <c r="I49" s="61">
        <v>46</v>
      </c>
      <c r="J49" s="55"/>
      <c r="L49" s="66">
        <v>6</v>
      </c>
      <c r="M49" s="66">
        <v>13</v>
      </c>
      <c r="N49" s="66">
        <v>1011000</v>
      </c>
      <c r="O49" s="66">
        <v>8</v>
      </c>
      <c r="P49" s="66">
        <v>5</v>
      </c>
      <c r="Q49" s="66">
        <v>19</v>
      </c>
      <c r="R49" s="66">
        <v>20</v>
      </c>
      <c r="S49" s="66"/>
      <c r="T49" s="66"/>
      <c r="U49" s="66">
        <v>1</v>
      </c>
      <c r="V49" s="66">
        <v>1</v>
      </c>
      <c r="W49" s="66"/>
    </row>
    <row r="50" spans="9:23" x14ac:dyDescent="0.25">
      <c r="I50" s="61">
        <v>47</v>
      </c>
      <c r="J50" s="55"/>
      <c r="L50" s="66">
        <v>7</v>
      </c>
      <c r="M50" s="66">
        <v>15</v>
      </c>
      <c r="N50" s="66">
        <v>1000000</v>
      </c>
      <c r="O50" s="66">
        <v>5</v>
      </c>
      <c r="P50" s="66">
        <v>5</v>
      </c>
      <c r="Q50" s="66">
        <v>19</v>
      </c>
      <c r="R50" s="66">
        <v>20</v>
      </c>
      <c r="S50" s="66"/>
      <c r="T50" s="66"/>
      <c r="U50" s="66">
        <v>1</v>
      </c>
      <c r="V50" s="66">
        <v>1</v>
      </c>
      <c r="W50" s="66"/>
    </row>
    <row r="51" spans="9:23" x14ac:dyDescent="0.25">
      <c r="I51" s="61">
        <v>48</v>
      </c>
      <c r="J51" s="55"/>
      <c r="L51" s="66">
        <v>8</v>
      </c>
      <c r="M51" s="66">
        <v>17</v>
      </c>
      <c r="N51" s="66">
        <v>11001111</v>
      </c>
      <c r="O51" s="66">
        <v>5</v>
      </c>
      <c r="P51" s="66">
        <v>8</v>
      </c>
      <c r="Q51" s="66">
        <v>19</v>
      </c>
      <c r="R51" s="66">
        <v>20</v>
      </c>
      <c r="S51" s="66"/>
      <c r="T51" s="66"/>
      <c r="U51" s="66">
        <v>1</v>
      </c>
      <c r="V51" s="66">
        <v>1</v>
      </c>
      <c r="W51" s="66"/>
    </row>
    <row r="52" spans="9:23" x14ac:dyDescent="0.25">
      <c r="I52" s="61">
        <v>49</v>
      </c>
      <c r="J52" s="55"/>
      <c r="L52" s="66">
        <v>9</v>
      </c>
      <c r="M52" s="66">
        <v>17</v>
      </c>
      <c r="N52" s="66">
        <v>11001111</v>
      </c>
      <c r="O52" s="66">
        <v>5</v>
      </c>
      <c r="P52" s="66">
        <v>8</v>
      </c>
      <c r="Q52" s="66">
        <v>19</v>
      </c>
      <c r="R52" s="66">
        <v>20</v>
      </c>
      <c r="S52" s="66"/>
      <c r="T52" s="66"/>
      <c r="U52" s="66">
        <v>1</v>
      </c>
      <c r="V52" s="66">
        <v>1</v>
      </c>
      <c r="W52" s="66"/>
    </row>
    <row r="53" spans="9:23" x14ac:dyDescent="0.25">
      <c r="I53" s="61">
        <v>50</v>
      </c>
      <c r="J53" s="55"/>
      <c r="L53" s="66">
        <v>10</v>
      </c>
      <c r="M53" s="66">
        <v>8</v>
      </c>
      <c r="N53" s="66">
        <v>10000100</v>
      </c>
      <c r="O53" s="66">
        <v>5</v>
      </c>
      <c r="P53" s="66">
        <v>8</v>
      </c>
      <c r="Q53" s="66">
        <v>19</v>
      </c>
      <c r="R53" s="66">
        <v>20</v>
      </c>
      <c r="S53" s="66"/>
      <c r="T53" s="66"/>
      <c r="U53" s="66">
        <v>1</v>
      </c>
      <c r="V53" s="66">
        <v>1</v>
      </c>
      <c r="W53" s="66"/>
    </row>
    <row r="54" spans="9:23" x14ac:dyDescent="0.25">
      <c r="I54" s="61">
        <v>51</v>
      </c>
      <c r="J54" s="55"/>
      <c r="L54" s="66">
        <v>4</v>
      </c>
      <c r="M54" s="66">
        <v>9</v>
      </c>
      <c r="N54" s="66">
        <v>11000</v>
      </c>
      <c r="O54" s="66">
        <v>13</v>
      </c>
      <c r="P54" s="66">
        <v>8</v>
      </c>
      <c r="Q54" s="66">
        <v>19</v>
      </c>
      <c r="R54" s="66">
        <v>20</v>
      </c>
      <c r="S54" s="66"/>
      <c r="T54" s="66"/>
      <c r="U54" s="66">
        <v>1</v>
      </c>
      <c r="V54" s="66">
        <v>1</v>
      </c>
      <c r="W54" s="66"/>
    </row>
    <row r="55" spans="9:23" x14ac:dyDescent="0.25">
      <c r="I55" s="61">
        <v>52</v>
      </c>
      <c r="J55" s="55"/>
      <c r="L55" s="66">
        <v>5</v>
      </c>
      <c r="M55" s="66">
        <v>11</v>
      </c>
      <c r="N55" s="66">
        <v>1100</v>
      </c>
      <c r="O55" s="66">
        <v>13</v>
      </c>
      <c r="P55" s="66">
        <v>8</v>
      </c>
      <c r="Q55" s="66">
        <v>19</v>
      </c>
      <c r="R55" s="66">
        <v>20</v>
      </c>
      <c r="S55" s="66"/>
      <c r="T55" s="66"/>
      <c r="U55" s="66">
        <v>1</v>
      </c>
      <c r="V55" s="66">
        <v>1</v>
      </c>
      <c r="W55" s="66"/>
    </row>
    <row r="56" spans="9:23" x14ac:dyDescent="0.25">
      <c r="I56" s="61">
        <v>53</v>
      </c>
      <c r="J56" s="55"/>
      <c r="L56" s="66">
        <v>6</v>
      </c>
      <c r="M56" s="66">
        <v>13</v>
      </c>
      <c r="N56" s="66">
        <v>1011000</v>
      </c>
      <c r="O56" s="66">
        <v>13</v>
      </c>
      <c r="P56" s="66">
        <v>8</v>
      </c>
      <c r="Q56" s="66">
        <v>19</v>
      </c>
      <c r="R56" s="66">
        <v>20</v>
      </c>
      <c r="S56" s="66"/>
      <c r="T56" s="66"/>
      <c r="U56" s="66">
        <v>1</v>
      </c>
      <c r="V56" s="66">
        <v>1</v>
      </c>
      <c r="W56" s="66"/>
    </row>
    <row r="57" spans="9:23" x14ac:dyDescent="0.25">
      <c r="I57" s="61">
        <v>54</v>
      </c>
      <c r="J57" s="55"/>
      <c r="L57" s="66">
        <v>7</v>
      </c>
      <c r="M57" s="66">
        <v>15</v>
      </c>
      <c r="N57" s="66">
        <v>1000000</v>
      </c>
      <c r="O57" s="66">
        <v>8</v>
      </c>
      <c r="P57" s="66">
        <v>8</v>
      </c>
      <c r="Q57" s="66">
        <v>19</v>
      </c>
      <c r="R57" s="66">
        <v>20</v>
      </c>
      <c r="S57" s="66"/>
      <c r="T57" s="66"/>
      <c r="U57" s="66">
        <v>1</v>
      </c>
      <c r="V57" s="66">
        <v>1</v>
      </c>
      <c r="W57" s="66"/>
    </row>
    <row r="58" spans="9:23" x14ac:dyDescent="0.25">
      <c r="I58" s="61">
        <v>55</v>
      </c>
      <c r="J58" s="55"/>
      <c r="L58" s="66">
        <v>8</v>
      </c>
      <c r="M58" s="66">
        <v>17</v>
      </c>
      <c r="N58" s="66">
        <v>11001111</v>
      </c>
      <c r="O58" s="66">
        <v>8</v>
      </c>
      <c r="P58" s="66">
        <v>13</v>
      </c>
      <c r="Q58" s="66">
        <v>19</v>
      </c>
      <c r="R58" s="66">
        <v>20</v>
      </c>
      <c r="S58" s="66"/>
      <c r="T58" s="66"/>
      <c r="U58" s="66">
        <v>1</v>
      </c>
      <c r="V58" s="66">
        <v>1</v>
      </c>
      <c r="W58" s="66"/>
    </row>
    <row r="59" spans="9:23" x14ac:dyDescent="0.25">
      <c r="I59" s="61">
        <v>56</v>
      </c>
      <c r="J59" s="55"/>
      <c r="L59" s="66">
        <v>9</v>
      </c>
      <c r="M59" s="66">
        <v>17</v>
      </c>
      <c r="N59" s="66">
        <v>11001111</v>
      </c>
      <c r="O59" s="66">
        <v>8</v>
      </c>
      <c r="P59" s="66">
        <v>13</v>
      </c>
      <c r="Q59" s="66">
        <v>19</v>
      </c>
      <c r="R59" s="66">
        <v>20</v>
      </c>
      <c r="S59" s="66"/>
      <c r="T59" s="66"/>
      <c r="U59" s="66">
        <v>1</v>
      </c>
      <c r="V59" s="66">
        <v>1</v>
      </c>
      <c r="W59" s="66"/>
    </row>
    <row r="60" spans="9:23" x14ac:dyDescent="0.25">
      <c r="I60" s="61">
        <v>57</v>
      </c>
      <c r="J60" s="55"/>
      <c r="L60" s="66">
        <v>10</v>
      </c>
      <c r="M60" s="66">
        <v>8</v>
      </c>
      <c r="N60" s="66">
        <v>10000100</v>
      </c>
      <c r="O60" s="66">
        <v>8</v>
      </c>
      <c r="P60" s="66">
        <v>13</v>
      </c>
      <c r="Q60" s="66">
        <v>19</v>
      </c>
      <c r="R60" s="66">
        <v>20</v>
      </c>
      <c r="S60" s="66"/>
      <c r="T60" s="66"/>
      <c r="U60" s="66">
        <v>1</v>
      </c>
      <c r="V60" s="66">
        <v>1</v>
      </c>
      <c r="W60" s="66"/>
    </row>
    <row r="61" spans="9:23" x14ac:dyDescent="0.25">
      <c r="I61" s="61">
        <v>58</v>
      </c>
      <c r="J61" s="55"/>
      <c r="L61" s="66">
        <v>4</v>
      </c>
      <c r="M61" s="66">
        <v>9</v>
      </c>
      <c r="N61" s="66">
        <v>11000</v>
      </c>
      <c r="O61" s="66">
        <v>21</v>
      </c>
      <c r="P61" s="66">
        <v>13</v>
      </c>
      <c r="Q61" s="66">
        <v>19</v>
      </c>
      <c r="R61" s="66">
        <v>20</v>
      </c>
      <c r="S61" s="66"/>
      <c r="T61" s="66"/>
      <c r="U61" s="66">
        <v>1</v>
      </c>
      <c r="V61" s="66">
        <v>1</v>
      </c>
      <c r="W61" s="66"/>
    </row>
    <row r="62" spans="9:23" x14ac:dyDescent="0.25">
      <c r="I62" s="61">
        <v>59</v>
      </c>
      <c r="J62" s="55"/>
      <c r="L62" s="66">
        <v>5</v>
      </c>
      <c r="M62" s="66">
        <v>11</v>
      </c>
      <c r="N62" s="66">
        <v>1100</v>
      </c>
      <c r="O62" s="66">
        <v>21</v>
      </c>
      <c r="P62" s="66">
        <v>13</v>
      </c>
      <c r="Q62" s="66">
        <v>19</v>
      </c>
      <c r="R62" s="66">
        <v>20</v>
      </c>
      <c r="S62" s="66"/>
      <c r="T62" s="66"/>
      <c r="U62" s="66">
        <v>1</v>
      </c>
      <c r="V62" s="66">
        <v>1</v>
      </c>
      <c r="W62" s="66"/>
    </row>
    <row r="63" spans="9:23" x14ac:dyDescent="0.25">
      <c r="I63" s="61">
        <v>60</v>
      </c>
      <c r="J63" s="55"/>
      <c r="L63" s="66">
        <v>6</v>
      </c>
      <c r="M63" s="66">
        <v>13</v>
      </c>
      <c r="N63" s="66">
        <v>1011000</v>
      </c>
      <c r="O63" s="66">
        <v>21</v>
      </c>
      <c r="P63" s="66">
        <v>13</v>
      </c>
      <c r="Q63" s="66">
        <v>19</v>
      </c>
      <c r="R63" s="66">
        <v>20</v>
      </c>
      <c r="S63" s="66"/>
      <c r="T63" s="66"/>
      <c r="U63" s="66">
        <v>1</v>
      </c>
      <c r="V63" s="66">
        <v>1</v>
      </c>
      <c r="W63" s="66"/>
    </row>
    <row r="64" spans="9:23" x14ac:dyDescent="0.25">
      <c r="I64" s="61">
        <v>61</v>
      </c>
      <c r="J64" s="55"/>
      <c r="L64" s="66">
        <v>7</v>
      </c>
      <c r="M64" s="66">
        <v>15</v>
      </c>
      <c r="N64" s="66">
        <v>1000000</v>
      </c>
      <c r="O64" s="66">
        <v>13</v>
      </c>
      <c r="P64" s="66">
        <v>13</v>
      </c>
      <c r="Q64" s="66">
        <v>19</v>
      </c>
      <c r="R64" s="66">
        <v>20</v>
      </c>
      <c r="S64" s="66"/>
      <c r="T64" s="66"/>
      <c r="U64" s="66">
        <v>1</v>
      </c>
      <c r="V64" s="66">
        <v>1</v>
      </c>
      <c r="W64" s="66"/>
    </row>
    <row r="65" spans="9:23" x14ac:dyDescent="0.25">
      <c r="I65" s="61">
        <v>62</v>
      </c>
      <c r="J65" s="55"/>
      <c r="L65" s="66">
        <v>8</v>
      </c>
      <c r="M65" s="66">
        <v>17</v>
      </c>
      <c r="N65" s="66">
        <v>11001111</v>
      </c>
      <c r="O65" s="66">
        <v>13</v>
      </c>
      <c r="P65" s="66">
        <v>21</v>
      </c>
      <c r="Q65" s="66">
        <v>19</v>
      </c>
      <c r="R65" s="66">
        <v>20</v>
      </c>
      <c r="S65" s="66"/>
      <c r="T65" s="66"/>
      <c r="U65" s="66">
        <v>1</v>
      </c>
      <c r="V65" s="66">
        <v>1</v>
      </c>
      <c r="W65" s="66"/>
    </row>
    <row r="66" spans="9:23" x14ac:dyDescent="0.25">
      <c r="I66" s="61">
        <v>63</v>
      </c>
      <c r="J66" s="55"/>
      <c r="L66" s="66">
        <v>9</v>
      </c>
      <c r="M66" s="66">
        <v>17</v>
      </c>
      <c r="N66" s="66">
        <v>11001111</v>
      </c>
      <c r="O66" s="66">
        <v>13</v>
      </c>
      <c r="P66" s="66">
        <v>21</v>
      </c>
      <c r="Q66" s="66">
        <v>19</v>
      </c>
      <c r="R66" s="66">
        <v>20</v>
      </c>
      <c r="S66" s="66"/>
      <c r="T66" s="66"/>
      <c r="U66" s="66">
        <v>1</v>
      </c>
      <c r="V66" s="66">
        <v>1</v>
      </c>
      <c r="W66" s="66"/>
    </row>
    <row r="67" spans="9:23" x14ac:dyDescent="0.25">
      <c r="I67" s="61">
        <v>64</v>
      </c>
      <c r="J67" s="55"/>
      <c r="L67" s="66">
        <v>10</v>
      </c>
      <c r="M67" s="66">
        <v>8</v>
      </c>
      <c r="N67" s="66">
        <v>10000100</v>
      </c>
      <c r="O67" s="66">
        <v>13</v>
      </c>
      <c r="P67" s="66">
        <v>21</v>
      </c>
      <c r="Q67" s="66">
        <v>19</v>
      </c>
      <c r="R67" s="66">
        <v>20</v>
      </c>
      <c r="S67" s="66"/>
      <c r="T67" s="66"/>
      <c r="U67" s="66">
        <v>1</v>
      </c>
      <c r="V67" s="66">
        <v>1</v>
      </c>
      <c r="W67" s="66"/>
    </row>
    <row r="68" spans="9:23" x14ac:dyDescent="0.25">
      <c r="I68" s="61">
        <v>65</v>
      </c>
      <c r="J68" s="55"/>
      <c r="L68" s="66">
        <v>4</v>
      </c>
      <c r="M68" s="66">
        <v>9</v>
      </c>
      <c r="N68" s="66">
        <v>11000</v>
      </c>
      <c r="O68" s="66">
        <v>34</v>
      </c>
      <c r="P68" s="66">
        <v>21</v>
      </c>
      <c r="Q68" s="66">
        <v>19</v>
      </c>
      <c r="R68" s="66">
        <v>20</v>
      </c>
      <c r="S68" s="66"/>
      <c r="T68" s="66"/>
      <c r="U68" s="66">
        <v>1</v>
      </c>
      <c r="V68" s="66">
        <v>1</v>
      </c>
      <c r="W68" s="66"/>
    </row>
    <row r="69" spans="9:23" x14ac:dyDescent="0.25">
      <c r="I69" s="61">
        <v>66</v>
      </c>
      <c r="J69" s="55"/>
      <c r="L69" s="66">
        <v>5</v>
      </c>
      <c r="M69" s="66">
        <v>11</v>
      </c>
      <c r="N69" s="66">
        <v>1100</v>
      </c>
      <c r="O69" s="66">
        <v>34</v>
      </c>
      <c r="P69" s="66">
        <v>21</v>
      </c>
      <c r="Q69" s="66">
        <v>19</v>
      </c>
      <c r="R69" s="66">
        <v>20</v>
      </c>
      <c r="S69" s="66"/>
      <c r="T69" s="66"/>
      <c r="U69" s="66">
        <v>1</v>
      </c>
      <c r="V69" s="66">
        <v>1</v>
      </c>
      <c r="W69" s="66"/>
    </row>
    <row r="70" spans="9:23" x14ac:dyDescent="0.25">
      <c r="I70" s="61">
        <v>67</v>
      </c>
      <c r="J70" s="55"/>
      <c r="L70" s="66">
        <v>6</v>
      </c>
      <c r="M70" s="66">
        <v>13</v>
      </c>
      <c r="N70" s="66">
        <v>1011000</v>
      </c>
      <c r="O70" s="66">
        <v>34</v>
      </c>
      <c r="P70" s="66">
        <v>21</v>
      </c>
      <c r="Q70" s="66">
        <v>19</v>
      </c>
      <c r="R70" s="66">
        <v>20</v>
      </c>
      <c r="S70" s="66"/>
      <c r="T70" s="66"/>
      <c r="U70" s="66">
        <v>1</v>
      </c>
      <c r="V70" s="66">
        <v>1</v>
      </c>
      <c r="W70" s="66"/>
    </row>
    <row r="71" spans="9:23" x14ac:dyDescent="0.25">
      <c r="I71" s="61">
        <v>68</v>
      </c>
      <c r="J71" s="55"/>
      <c r="L71" s="66">
        <v>7</v>
      </c>
      <c r="M71" s="66">
        <v>15</v>
      </c>
      <c r="N71" s="66">
        <v>1000000</v>
      </c>
      <c r="O71" s="66">
        <v>21</v>
      </c>
      <c r="P71" s="66">
        <v>21</v>
      </c>
      <c r="Q71" s="66">
        <v>19</v>
      </c>
      <c r="R71" s="66">
        <v>20</v>
      </c>
      <c r="S71" s="66"/>
      <c r="T71" s="66"/>
      <c r="U71" s="66">
        <v>1</v>
      </c>
      <c r="V71" s="66">
        <v>1</v>
      </c>
      <c r="W71" s="66"/>
    </row>
    <row r="72" spans="9:23" x14ac:dyDescent="0.25">
      <c r="I72" s="61">
        <v>69</v>
      </c>
      <c r="J72" s="55"/>
      <c r="L72" s="66">
        <v>8</v>
      </c>
      <c r="M72" s="66">
        <v>17</v>
      </c>
      <c r="N72" s="66">
        <v>11001111</v>
      </c>
      <c r="O72" s="66">
        <v>21</v>
      </c>
      <c r="P72" s="66">
        <v>34</v>
      </c>
      <c r="Q72" s="66">
        <v>19</v>
      </c>
      <c r="R72" s="66">
        <v>20</v>
      </c>
      <c r="S72" s="66"/>
      <c r="T72" s="66"/>
      <c r="U72" s="66">
        <v>1</v>
      </c>
      <c r="V72" s="66">
        <v>1</v>
      </c>
      <c r="W72" s="66"/>
    </row>
    <row r="73" spans="9:23" x14ac:dyDescent="0.25">
      <c r="I73" s="61">
        <v>70</v>
      </c>
      <c r="J73" s="55"/>
      <c r="L73" s="66">
        <v>9</v>
      </c>
      <c r="M73" s="66">
        <v>17</v>
      </c>
      <c r="N73" s="66">
        <v>11001111</v>
      </c>
      <c r="O73" s="66">
        <v>21</v>
      </c>
      <c r="P73" s="66">
        <v>34</v>
      </c>
      <c r="Q73" s="66">
        <v>19</v>
      </c>
      <c r="R73" s="66">
        <v>20</v>
      </c>
      <c r="S73" s="66"/>
      <c r="T73" s="66"/>
      <c r="U73" s="66">
        <v>1</v>
      </c>
      <c r="V73" s="66">
        <v>1</v>
      </c>
      <c r="W73" s="66"/>
    </row>
    <row r="74" spans="9:23" x14ac:dyDescent="0.25">
      <c r="I74" s="61">
        <v>71</v>
      </c>
      <c r="J74" s="55"/>
      <c r="L74" s="66">
        <v>10</v>
      </c>
      <c r="M74" s="66">
        <v>8</v>
      </c>
      <c r="N74" s="66">
        <v>10000100</v>
      </c>
      <c r="O74" s="66">
        <v>21</v>
      </c>
      <c r="P74" s="66">
        <v>34</v>
      </c>
      <c r="Q74" s="66">
        <v>19</v>
      </c>
      <c r="R74" s="66">
        <v>20</v>
      </c>
      <c r="S74" s="66"/>
      <c r="T74" s="66"/>
      <c r="U74" s="66">
        <v>1</v>
      </c>
      <c r="V74" s="66">
        <v>1</v>
      </c>
      <c r="W74" s="66"/>
    </row>
    <row r="75" spans="9:23" x14ac:dyDescent="0.25">
      <c r="I75" s="61">
        <v>72</v>
      </c>
      <c r="J75" s="55"/>
      <c r="L75" s="66">
        <v>4</v>
      </c>
      <c r="M75" s="66">
        <v>9</v>
      </c>
      <c r="N75" s="66">
        <v>11000</v>
      </c>
      <c r="O75" s="66">
        <v>55</v>
      </c>
      <c r="P75" s="66">
        <v>34</v>
      </c>
      <c r="Q75" s="66">
        <v>19</v>
      </c>
      <c r="R75" s="66">
        <v>20</v>
      </c>
      <c r="S75" s="66"/>
      <c r="T75" s="66"/>
      <c r="U75" s="66">
        <v>1</v>
      </c>
      <c r="V75" s="66">
        <v>1</v>
      </c>
      <c r="W75" s="66"/>
    </row>
    <row r="76" spans="9:23" x14ac:dyDescent="0.25">
      <c r="I76" s="61">
        <v>73</v>
      </c>
      <c r="J76" s="55"/>
      <c r="L76" s="66">
        <v>5</v>
      </c>
      <c r="M76" s="66">
        <v>11</v>
      </c>
      <c r="N76" s="66">
        <v>1100</v>
      </c>
      <c r="O76" s="66">
        <v>55</v>
      </c>
      <c r="P76" s="66">
        <v>34</v>
      </c>
      <c r="Q76" s="66">
        <v>19</v>
      </c>
      <c r="R76" s="66">
        <v>20</v>
      </c>
      <c r="S76" s="66"/>
      <c r="T76" s="66"/>
      <c r="U76" s="66">
        <v>1</v>
      </c>
      <c r="V76" s="66">
        <v>1</v>
      </c>
      <c r="W76" s="66"/>
    </row>
    <row r="77" spans="9:23" x14ac:dyDescent="0.25">
      <c r="I77" s="61">
        <v>74</v>
      </c>
      <c r="J77" s="55"/>
      <c r="L77" s="66">
        <v>6</v>
      </c>
      <c r="M77" s="66">
        <v>13</v>
      </c>
      <c r="N77" s="66">
        <v>1011000</v>
      </c>
      <c r="O77" s="66">
        <v>55</v>
      </c>
      <c r="P77" s="66">
        <v>34</v>
      </c>
      <c r="Q77" s="66">
        <v>19</v>
      </c>
      <c r="R77" s="66">
        <v>20</v>
      </c>
      <c r="S77" s="66"/>
      <c r="T77" s="66"/>
      <c r="U77" s="66">
        <v>1</v>
      </c>
      <c r="V77" s="66">
        <v>1</v>
      </c>
      <c r="W77" s="66"/>
    </row>
    <row r="78" spans="9:23" x14ac:dyDescent="0.25">
      <c r="I78" s="61">
        <v>75</v>
      </c>
      <c r="J78" s="55"/>
      <c r="L78" s="66">
        <v>7</v>
      </c>
      <c r="M78" s="66">
        <v>15</v>
      </c>
      <c r="N78" s="66">
        <v>1000000</v>
      </c>
      <c r="O78" s="66">
        <v>34</v>
      </c>
      <c r="P78" s="66">
        <v>34</v>
      </c>
      <c r="Q78" s="66">
        <v>19</v>
      </c>
      <c r="R78" s="66">
        <v>20</v>
      </c>
      <c r="S78" s="66"/>
      <c r="T78" s="66"/>
      <c r="U78" s="66">
        <v>1</v>
      </c>
      <c r="V78" s="66">
        <v>1</v>
      </c>
      <c r="W78" s="66"/>
    </row>
    <row r="79" spans="9:23" x14ac:dyDescent="0.25">
      <c r="I79" s="61">
        <v>76</v>
      </c>
      <c r="J79" s="55"/>
      <c r="L79" s="66">
        <v>8</v>
      </c>
      <c r="M79" s="66">
        <v>17</v>
      </c>
      <c r="N79" s="66">
        <v>11001111</v>
      </c>
      <c r="O79" s="66">
        <v>34</v>
      </c>
      <c r="P79" s="66">
        <v>55</v>
      </c>
      <c r="Q79" s="66">
        <v>19</v>
      </c>
      <c r="R79" s="66">
        <v>20</v>
      </c>
      <c r="S79" s="66"/>
      <c r="T79" s="66"/>
      <c r="U79" s="66">
        <v>1</v>
      </c>
      <c r="V79" s="66">
        <v>1</v>
      </c>
      <c r="W79" s="66"/>
    </row>
    <row r="80" spans="9:23" x14ac:dyDescent="0.25">
      <c r="I80" s="61">
        <v>77</v>
      </c>
      <c r="J80" s="55"/>
      <c r="L80" s="66">
        <v>9</v>
      </c>
      <c r="M80" s="66">
        <v>17</v>
      </c>
      <c r="N80" s="66">
        <v>11001111</v>
      </c>
      <c r="O80" s="66">
        <v>34</v>
      </c>
      <c r="P80" s="66">
        <v>55</v>
      </c>
      <c r="Q80" s="66">
        <v>19</v>
      </c>
      <c r="R80" s="66">
        <v>20</v>
      </c>
      <c r="S80" s="66"/>
      <c r="T80" s="66"/>
      <c r="U80" s="66">
        <v>1</v>
      </c>
      <c r="V80" s="66">
        <v>1</v>
      </c>
      <c r="W80" s="66"/>
    </row>
    <row r="81" spans="9:23" x14ac:dyDescent="0.25">
      <c r="I81" s="61">
        <v>78</v>
      </c>
      <c r="J81" s="55"/>
      <c r="L81" s="66">
        <v>10</v>
      </c>
      <c r="M81" s="66">
        <v>8</v>
      </c>
      <c r="N81" s="66">
        <v>10000100</v>
      </c>
      <c r="O81" s="66">
        <v>34</v>
      </c>
      <c r="P81" s="66">
        <v>55</v>
      </c>
      <c r="Q81" s="66">
        <v>19</v>
      </c>
      <c r="R81" s="66">
        <v>20</v>
      </c>
      <c r="S81" s="66"/>
      <c r="T81" s="66"/>
      <c r="U81" s="66">
        <v>1</v>
      </c>
      <c r="V81" s="66">
        <v>1</v>
      </c>
      <c r="W81" s="66"/>
    </row>
    <row r="82" spans="9:23" x14ac:dyDescent="0.25">
      <c r="I82" s="61">
        <v>79</v>
      </c>
      <c r="J82" s="55"/>
      <c r="L82" s="66">
        <v>4</v>
      </c>
      <c r="M82" s="66">
        <v>9</v>
      </c>
      <c r="N82" s="66">
        <v>11000</v>
      </c>
      <c r="O82" s="66">
        <v>89</v>
      </c>
      <c r="P82" s="66">
        <v>55</v>
      </c>
      <c r="Q82" s="66">
        <v>19</v>
      </c>
      <c r="R82" s="66">
        <v>20</v>
      </c>
      <c r="S82" s="66"/>
      <c r="T82" s="66"/>
      <c r="U82" s="66">
        <v>1</v>
      </c>
      <c r="V82" s="66">
        <v>1</v>
      </c>
      <c r="W82" s="66"/>
    </row>
    <row r="83" spans="9:23" x14ac:dyDescent="0.25">
      <c r="I83" s="61">
        <v>80</v>
      </c>
      <c r="J83" s="55"/>
      <c r="L83" s="66">
        <v>5</v>
      </c>
      <c r="M83" s="66">
        <v>11</v>
      </c>
      <c r="N83" s="66">
        <v>1100</v>
      </c>
      <c r="O83" s="66">
        <v>89</v>
      </c>
      <c r="P83" s="66">
        <v>55</v>
      </c>
      <c r="Q83" s="66">
        <v>19</v>
      </c>
      <c r="R83" s="66">
        <v>20</v>
      </c>
      <c r="S83" s="66"/>
      <c r="T83" s="66"/>
      <c r="U83" s="66">
        <v>1</v>
      </c>
      <c r="V83" s="66">
        <v>1</v>
      </c>
      <c r="W83" s="66"/>
    </row>
    <row r="84" spans="9:23" x14ac:dyDescent="0.25">
      <c r="I84" s="61">
        <v>81</v>
      </c>
      <c r="J84" s="55"/>
      <c r="L84" s="66">
        <v>6</v>
      </c>
      <c r="M84" s="66">
        <v>13</v>
      </c>
      <c r="N84" s="66">
        <v>1011000</v>
      </c>
      <c r="O84" s="66">
        <v>89</v>
      </c>
      <c r="P84" s="66">
        <v>55</v>
      </c>
      <c r="Q84" s="66">
        <v>19</v>
      </c>
      <c r="R84" s="66">
        <v>20</v>
      </c>
      <c r="S84" s="66"/>
      <c r="T84" s="66"/>
      <c r="U84" s="66">
        <v>1</v>
      </c>
      <c r="V84" s="66">
        <v>1</v>
      </c>
      <c r="W84" s="66"/>
    </row>
    <row r="85" spans="9:23" x14ac:dyDescent="0.25">
      <c r="I85" s="61">
        <v>82</v>
      </c>
      <c r="J85" s="55"/>
      <c r="L85" s="66">
        <v>7</v>
      </c>
      <c r="M85" s="66">
        <v>15</v>
      </c>
      <c r="N85" s="66">
        <v>1000000</v>
      </c>
      <c r="O85" s="66">
        <v>55</v>
      </c>
      <c r="P85" s="66">
        <v>55</v>
      </c>
      <c r="Q85" s="66">
        <v>19</v>
      </c>
      <c r="R85" s="66">
        <v>20</v>
      </c>
      <c r="S85" s="66"/>
      <c r="T85" s="66"/>
      <c r="U85" s="66">
        <v>1</v>
      </c>
      <c r="V85" s="66">
        <v>1</v>
      </c>
      <c r="W85" s="66"/>
    </row>
    <row r="86" spans="9:23" x14ac:dyDescent="0.25">
      <c r="I86" s="61">
        <v>83</v>
      </c>
      <c r="J86" s="55"/>
      <c r="L86" s="66">
        <v>8</v>
      </c>
      <c r="M86" s="66">
        <v>17</v>
      </c>
      <c r="N86" s="66">
        <v>11001111</v>
      </c>
      <c r="O86" s="66">
        <v>55</v>
      </c>
      <c r="P86" s="66">
        <v>89</v>
      </c>
      <c r="Q86" s="66">
        <v>19</v>
      </c>
      <c r="R86" s="66">
        <v>20</v>
      </c>
      <c r="S86" s="66"/>
      <c r="T86" s="66"/>
      <c r="U86" s="66">
        <v>1</v>
      </c>
      <c r="V86" s="66">
        <v>1</v>
      </c>
      <c r="W86" s="66"/>
    </row>
    <row r="87" spans="9:23" x14ac:dyDescent="0.25">
      <c r="I87" s="61">
        <v>84</v>
      </c>
      <c r="J87" s="55"/>
      <c r="L87" s="66">
        <v>9</v>
      </c>
      <c r="M87" s="66">
        <v>17</v>
      </c>
      <c r="N87" s="66">
        <v>11001111</v>
      </c>
      <c r="O87" s="66">
        <v>55</v>
      </c>
      <c r="P87" s="66">
        <v>89</v>
      </c>
      <c r="Q87" s="66">
        <v>19</v>
      </c>
      <c r="R87" s="66">
        <v>20</v>
      </c>
      <c r="S87" s="66"/>
      <c r="T87" s="66"/>
      <c r="U87" s="66">
        <v>1</v>
      </c>
      <c r="V87" s="66">
        <v>1</v>
      </c>
      <c r="W87" s="66"/>
    </row>
    <row r="88" spans="9:23" x14ac:dyDescent="0.25">
      <c r="I88" s="61">
        <v>85</v>
      </c>
      <c r="J88" s="55"/>
      <c r="L88" s="66">
        <v>10</v>
      </c>
      <c r="M88" s="66">
        <v>8</v>
      </c>
      <c r="N88" s="66">
        <v>10000100</v>
      </c>
      <c r="O88" s="66">
        <v>55</v>
      </c>
      <c r="P88" s="66">
        <v>89</v>
      </c>
      <c r="Q88" s="66">
        <v>19</v>
      </c>
      <c r="R88" s="66">
        <v>20</v>
      </c>
      <c r="S88" s="66"/>
      <c r="T88" s="66"/>
      <c r="U88" s="66">
        <v>1</v>
      </c>
      <c r="V88" s="66">
        <v>1</v>
      </c>
      <c r="W88" s="66"/>
    </row>
    <row r="89" spans="9:23" x14ac:dyDescent="0.25">
      <c r="I89" s="61">
        <v>86</v>
      </c>
      <c r="J89" s="55"/>
      <c r="L89" s="66">
        <v>4</v>
      </c>
      <c r="M89" s="66">
        <v>9</v>
      </c>
      <c r="N89" s="66">
        <v>11000</v>
      </c>
      <c r="O89" s="66">
        <v>144</v>
      </c>
      <c r="P89" s="66">
        <v>89</v>
      </c>
      <c r="Q89" s="66">
        <v>19</v>
      </c>
      <c r="R89" s="66">
        <v>20</v>
      </c>
      <c r="S89" s="66"/>
      <c r="T89" s="66"/>
      <c r="U89" s="66">
        <v>1</v>
      </c>
      <c r="V89" s="66">
        <v>1</v>
      </c>
      <c r="W89" s="66"/>
    </row>
    <row r="90" spans="9:23" x14ac:dyDescent="0.25">
      <c r="I90" s="61">
        <v>87</v>
      </c>
      <c r="J90" s="55"/>
      <c r="L90" s="66">
        <v>5</v>
      </c>
      <c r="M90" s="66">
        <v>11</v>
      </c>
      <c r="N90" s="66">
        <v>1100</v>
      </c>
      <c r="O90" s="66">
        <v>144</v>
      </c>
      <c r="P90" s="66">
        <v>89</v>
      </c>
      <c r="Q90" s="66">
        <v>19</v>
      </c>
      <c r="R90" s="66">
        <v>20</v>
      </c>
      <c r="S90" s="66"/>
      <c r="T90" s="66"/>
      <c r="U90" s="66">
        <v>1</v>
      </c>
      <c r="V90" s="66">
        <v>1</v>
      </c>
      <c r="W90" s="66"/>
    </row>
    <row r="91" spans="9:23" x14ac:dyDescent="0.25">
      <c r="I91" s="61">
        <v>88</v>
      </c>
      <c r="J91" s="55"/>
      <c r="L91" s="66">
        <v>6</v>
      </c>
      <c r="M91" s="66">
        <v>13</v>
      </c>
      <c r="N91" s="66">
        <v>1011000</v>
      </c>
      <c r="O91" s="66">
        <v>144</v>
      </c>
      <c r="P91" s="66">
        <v>89</v>
      </c>
      <c r="Q91" s="66">
        <v>19</v>
      </c>
      <c r="R91" s="66">
        <v>20</v>
      </c>
      <c r="S91" s="66"/>
      <c r="T91" s="66"/>
      <c r="U91" s="66">
        <v>1</v>
      </c>
      <c r="V91" s="66">
        <v>1</v>
      </c>
      <c r="W91" s="66"/>
    </row>
    <row r="92" spans="9:23" x14ac:dyDescent="0.25">
      <c r="I92" s="61">
        <v>89</v>
      </c>
      <c r="J92" s="55"/>
      <c r="L92" s="66">
        <v>7</v>
      </c>
      <c r="M92" s="66">
        <v>15</v>
      </c>
      <c r="N92" s="66">
        <v>1000000</v>
      </c>
      <c r="O92" s="66">
        <v>89</v>
      </c>
      <c r="P92" s="66">
        <v>89</v>
      </c>
      <c r="Q92" s="66">
        <v>19</v>
      </c>
      <c r="R92" s="66">
        <v>20</v>
      </c>
      <c r="S92" s="66"/>
      <c r="T92" s="66"/>
      <c r="U92" s="66">
        <v>1</v>
      </c>
      <c r="V92" s="66">
        <v>1</v>
      </c>
      <c r="W92" s="66"/>
    </row>
    <row r="93" spans="9:23" x14ac:dyDescent="0.25">
      <c r="I93" s="61">
        <v>90</v>
      </c>
      <c r="J93" s="55"/>
      <c r="L93" s="66">
        <v>8</v>
      </c>
      <c r="M93" s="66">
        <v>17</v>
      </c>
      <c r="N93" s="66">
        <v>11001111</v>
      </c>
      <c r="O93" s="66">
        <v>89</v>
      </c>
      <c r="P93" s="66">
        <v>144</v>
      </c>
      <c r="Q93" s="66">
        <v>19</v>
      </c>
      <c r="R93" s="66">
        <v>20</v>
      </c>
      <c r="S93" s="66"/>
      <c r="T93" s="66"/>
      <c r="U93" s="66">
        <v>1</v>
      </c>
      <c r="V93" s="66">
        <v>1</v>
      </c>
      <c r="W93" s="66"/>
    </row>
    <row r="94" spans="9:23" x14ac:dyDescent="0.25">
      <c r="I94" s="61">
        <v>91</v>
      </c>
      <c r="J94" s="55"/>
      <c r="L94" s="66">
        <v>9</v>
      </c>
      <c r="M94" s="66">
        <v>17</v>
      </c>
      <c r="N94" s="66">
        <v>11001111</v>
      </c>
      <c r="O94" s="66">
        <v>89</v>
      </c>
      <c r="P94" s="66">
        <v>144</v>
      </c>
      <c r="Q94" s="66">
        <v>19</v>
      </c>
      <c r="R94" s="66">
        <v>20</v>
      </c>
      <c r="S94" s="66"/>
      <c r="T94" s="66"/>
      <c r="U94" s="66">
        <v>1</v>
      </c>
      <c r="V94" s="66">
        <v>1</v>
      </c>
      <c r="W94" s="66"/>
    </row>
    <row r="95" spans="9:23" x14ac:dyDescent="0.25">
      <c r="I95" s="61">
        <v>92</v>
      </c>
      <c r="J95" s="55"/>
      <c r="L95" s="66">
        <v>10</v>
      </c>
      <c r="M95" s="66">
        <v>8</v>
      </c>
      <c r="N95" s="66">
        <v>10000100</v>
      </c>
      <c r="O95" s="66">
        <v>89</v>
      </c>
      <c r="P95" s="66">
        <v>144</v>
      </c>
      <c r="Q95" s="66">
        <v>19</v>
      </c>
      <c r="R95" s="66">
        <v>20</v>
      </c>
      <c r="S95" s="66"/>
      <c r="T95" s="66"/>
      <c r="U95" s="66">
        <v>1</v>
      </c>
      <c r="V95" s="66">
        <v>1</v>
      </c>
      <c r="W95" s="66"/>
    </row>
    <row r="96" spans="9:23" x14ac:dyDescent="0.25">
      <c r="I96" s="61">
        <v>93</v>
      </c>
      <c r="J96" s="55"/>
      <c r="L96" s="66">
        <v>4</v>
      </c>
      <c r="M96" s="66">
        <v>9</v>
      </c>
      <c r="N96" s="66">
        <v>11000</v>
      </c>
      <c r="O96" s="66">
        <v>233</v>
      </c>
      <c r="P96" s="66">
        <v>144</v>
      </c>
      <c r="Q96" s="66">
        <v>19</v>
      </c>
      <c r="R96" s="66">
        <v>20</v>
      </c>
      <c r="S96" s="66"/>
      <c r="T96" s="66"/>
      <c r="U96" s="66">
        <v>1</v>
      </c>
      <c r="V96" s="66">
        <v>1</v>
      </c>
      <c r="W96" s="66"/>
    </row>
    <row r="97" spans="9:23" x14ac:dyDescent="0.25">
      <c r="I97" s="61">
        <v>94</v>
      </c>
      <c r="J97" s="55"/>
      <c r="L97" s="66">
        <v>5</v>
      </c>
      <c r="M97" s="66">
        <v>11</v>
      </c>
      <c r="N97" s="66">
        <v>1100</v>
      </c>
      <c r="O97" s="66">
        <v>233</v>
      </c>
      <c r="P97" s="66">
        <v>144</v>
      </c>
      <c r="Q97" s="66">
        <v>19</v>
      </c>
      <c r="R97" s="66">
        <v>20</v>
      </c>
      <c r="S97" s="66"/>
      <c r="T97" s="66"/>
      <c r="U97" s="66">
        <v>1</v>
      </c>
      <c r="V97" s="66">
        <v>1</v>
      </c>
      <c r="W97" s="66"/>
    </row>
    <row r="98" spans="9:23" x14ac:dyDescent="0.25">
      <c r="I98" s="61">
        <v>95</v>
      </c>
      <c r="J98" s="55"/>
      <c r="L98" s="66">
        <v>6</v>
      </c>
      <c r="M98" s="66">
        <v>13</v>
      </c>
      <c r="N98" s="66">
        <v>1011000</v>
      </c>
      <c r="O98" s="66">
        <v>233</v>
      </c>
      <c r="P98" s="66">
        <v>144</v>
      </c>
      <c r="Q98" s="66">
        <v>19</v>
      </c>
      <c r="R98" s="66">
        <v>20</v>
      </c>
      <c r="S98" s="66"/>
      <c r="T98" s="66"/>
      <c r="U98" s="66">
        <v>1</v>
      </c>
      <c r="V98" s="66">
        <v>1</v>
      </c>
      <c r="W98" s="66"/>
    </row>
    <row r="99" spans="9:23" x14ac:dyDescent="0.25">
      <c r="I99" s="61">
        <v>96</v>
      </c>
      <c r="J99" s="55"/>
      <c r="L99" s="66">
        <v>7</v>
      </c>
      <c r="M99" s="66">
        <v>15</v>
      </c>
      <c r="N99" s="66">
        <v>1000000</v>
      </c>
      <c r="O99" s="66">
        <v>144</v>
      </c>
      <c r="P99" s="66">
        <v>144</v>
      </c>
      <c r="Q99" s="66">
        <v>19</v>
      </c>
      <c r="R99" s="66">
        <v>20</v>
      </c>
      <c r="S99" s="66"/>
      <c r="T99" s="66"/>
      <c r="U99" s="66">
        <v>1</v>
      </c>
      <c r="V99" s="66">
        <v>1</v>
      </c>
      <c r="W99" s="66"/>
    </row>
    <row r="100" spans="9:23" x14ac:dyDescent="0.25">
      <c r="I100" s="61">
        <v>97</v>
      </c>
      <c r="J100" s="55"/>
      <c r="L100" s="66">
        <v>8</v>
      </c>
      <c r="M100" s="66">
        <v>17</v>
      </c>
      <c r="N100" s="66">
        <v>11001111</v>
      </c>
      <c r="O100" s="66">
        <v>144</v>
      </c>
      <c r="P100" s="66">
        <v>233</v>
      </c>
      <c r="Q100" s="66">
        <v>19</v>
      </c>
      <c r="R100" s="66">
        <v>20</v>
      </c>
      <c r="S100" s="66"/>
      <c r="T100" s="66"/>
      <c r="U100" s="66">
        <v>1</v>
      </c>
      <c r="V100" s="66">
        <v>1</v>
      </c>
      <c r="W100" s="66"/>
    </row>
    <row r="101" spans="9:23" x14ac:dyDescent="0.25">
      <c r="I101" s="61">
        <v>98</v>
      </c>
      <c r="J101" s="55"/>
      <c r="L101" s="66">
        <v>9</v>
      </c>
      <c r="M101" s="66">
        <v>17</v>
      </c>
      <c r="N101" s="66">
        <v>11001111</v>
      </c>
      <c r="O101" s="66">
        <v>144</v>
      </c>
      <c r="P101" s="66">
        <v>233</v>
      </c>
      <c r="Q101" s="66">
        <v>19</v>
      </c>
      <c r="R101" s="66">
        <v>20</v>
      </c>
      <c r="S101" s="66"/>
      <c r="T101" s="66"/>
      <c r="U101" s="66">
        <v>1</v>
      </c>
      <c r="V101" s="66">
        <v>1</v>
      </c>
      <c r="W101" s="66"/>
    </row>
    <row r="102" spans="9:23" x14ac:dyDescent="0.25">
      <c r="I102" s="61">
        <v>99</v>
      </c>
      <c r="J102" s="55"/>
      <c r="L102" s="66">
        <v>10</v>
      </c>
      <c r="M102" s="66">
        <v>8</v>
      </c>
      <c r="N102" s="66">
        <v>10000100</v>
      </c>
      <c r="O102" s="66">
        <v>144</v>
      </c>
      <c r="P102" s="66">
        <v>233</v>
      </c>
      <c r="Q102" s="66">
        <v>19</v>
      </c>
      <c r="R102" s="66">
        <v>20</v>
      </c>
      <c r="S102" s="66"/>
      <c r="T102" s="66"/>
      <c r="U102" s="66">
        <v>1</v>
      </c>
      <c r="V102" s="66">
        <v>1</v>
      </c>
      <c r="W102" s="66"/>
    </row>
    <row r="103" spans="9:23" x14ac:dyDescent="0.25">
      <c r="I103" s="61">
        <v>100</v>
      </c>
      <c r="J103" s="55"/>
      <c r="L103" s="66">
        <v>4</v>
      </c>
      <c r="M103" s="66">
        <v>9</v>
      </c>
      <c r="N103" s="66">
        <v>11000</v>
      </c>
      <c r="O103" s="66">
        <v>377</v>
      </c>
      <c r="P103" s="66">
        <v>233</v>
      </c>
      <c r="Q103" s="66">
        <v>19</v>
      </c>
      <c r="R103" s="66">
        <v>20</v>
      </c>
      <c r="S103" s="66"/>
      <c r="T103" s="66">
        <v>1</v>
      </c>
      <c r="U103" s="66">
        <v>1</v>
      </c>
      <c r="V103" s="66">
        <v>1</v>
      </c>
      <c r="W103" s="66"/>
    </row>
    <row r="104" spans="9:23" x14ac:dyDescent="0.25">
      <c r="I104" s="61">
        <v>101</v>
      </c>
      <c r="J104" s="55"/>
      <c r="L104" s="66">
        <v>5</v>
      </c>
      <c r="M104" s="66">
        <v>11</v>
      </c>
      <c r="N104" s="66">
        <v>1100</v>
      </c>
      <c r="O104" s="66">
        <v>377</v>
      </c>
      <c r="P104" s="66">
        <v>233</v>
      </c>
      <c r="Q104" s="66">
        <v>19</v>
      </c>
      <c r="R104" s="66">
        <v>20</v>
      </c>
      <c r="S104" s="66"/>
      <c r="T104" s="66">
        <v>1</v>
      </c>
      <c r="U104" s="66">
        <v>1</v>
      </c>
      <c r="V104" s="66">
        <v>1</v>
      </c>
      <c r="W104" s="66"/>
    </row>
    <row r="105" spans="9:23" x14ac:dyDescent="0.25">
      <c r="I105" s="61">
        <v>102</v>
      </c>
      <c r="J105" s="55"/>
      <c r="L105" s="66">
        <v>6</v>
      </c>
      <c r="M105" s="66">
        <v>13</v>
      </c>
      <c r="N105" s="66">
        <v>1011000</v>
      </c>
      <c r="O105" s="66">
        <v>377</v>
      </c>
      <c r="P105" s="66">
        <v>233</v>
      </c>
      <c r="Q105" s="66">
        <v>19</v>
      </c>
      <c r="R105" s="66">
        <v>20</v>
      </c>
      <c r="S105" s="66"/>
      <c r="T105" s="66">
        <v>1</v>
      </c>
      <c r="U105" s="66">
        <v>1</v>
      </c>
      <c r="V105" s="66">
        <v>1</v>
      </c>
      <c r="W105" s="66"/>
    </row>
    <row r="106" spans="9:23" x14ac:dyDescent="0.25">
      <c r="I106" s="61">
        <v>103</v>
      </c>
      <c r="J106" s="55"/>
      <c r="L106" s="66">
        <v>7</v>
      </c>
      <c r="M106" s="66">
        <v>15</v>
      </c>
      <c r="N106" s="66">
        <v>1000000</v>
      </c>
      <c r="O106" s="66">
        <v>233</v>
      </c>
      <c r="P106" s="66">
        <v>233</v>
      </c>
      <c r="Q106" s="66">
        <v>19</v>
      </c>
      <c r="R106" s="66">
        <v>20</v>
      </c>
      <c r="S106" s="66"/>
      <c r="T106" s="66">
        <v>1</v>
      </c>
      <c r="U106" s="66">
        <v>1</v>
      </c>
      <c r="V106" s="66">
        <v>1</v>
      </c>
      <c r="W106" s="66"/>
    </row>
    <row r="107" spans="9:23" x14ac:dyDescent="0.25">
      <c r="I107" s="61">
        <v>104</v>
      </c>
      <c r="J107" s="55"/>
      <c r="L107" s="66">
        <v>8</v>
      </c>
      <c r="M107" s="66">
        <v>17</v>
      </c>
      <c r="N107" s="66">
        <v>11001111</v>
      </c>
      <c r="O107" s="66">
        <v>233</v>
      </c>
      <c r="P107" s="66">
        <v>377</v>
      </c>
      <c r="Q107" s="66">
        <v>19</v>
      </c>
      <c r="R107" s="66">
        <v>20</v>
      </c>
      <c r="S107" s="66"/>
      <c r="T107" s="66">
        <v>1</v>
      </c>
      <c r="U107" s="66">
        <v>1</v>
      </c>
      <c r="V107" s="66">
        <v>1</v>
      </c>
      <c r="W107" s="66"/>
    </row>
    <row r="108" spans="9:23" x14ac:dyDescent="0.25">
      <c r="I108" s="61">
        <v>105</v>
      </c>
      <c r="J108" s="55"/>
      <c r="L108" s="66">
        <v>9</v>
      </c>
      <c r="M108" s="66">
        <v>17</v>
      </c>
      <c r="N108" s="66">
        <v>11001111</v>
      </c>
      <c r="O108" s="66">
        <v>233</v>
      </c>
      <c r="P108" s="66">
        <v>377</v>
      </c>
      <c r="Q108" s="66">
        <v>19</v>
      </c>
      <c r="R108" s="66">
        <v>20</v>
      </c>
      <c r="S108" s="66"/>
      <c r="T108" s="66">
        <v>1</v>
      </c>
      <c r="U108" s="66">
        <v>1</v>
      </c>
      <c r="V108" s="66">
        <v>1</v>
      </c>
      <c r="W108" s="66"/>
    </row>
    <row r="109" spans="9:23" x14ac:dyDescent="0.25">
      <c r="I109" s="61">
        <v>106</v>
      </c>
      <c r="J109" s="55"/>
      <c r="L109" s="66">
        <v>11</v>
      </c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</row>
    <row r="110" spans="9:23" x14ac:dyDescent="0.25">
      <c r="I110" s="61">
        <v>107</v>
      </c>
      <c r="J110" s="55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</row>
    <row r="111" spans="9:23" x14ac:dyDescent="0.25">
      <c r="I111" s="61">
        <v>108</v>
      </c>
      <c r="J111" s="55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</row>
    <row r="112" spans="9:23" x14ac:dyDescent="0.25">
      <c r="I112" s="61">
        <v>109</v>
      </c>
      <c r="J112" s="55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</row>
    <row r="113" spans="9:23" x14ac:dyDescent="0.25">
      <c r="I113" s="61">
        <v>110</v>
      </c>
      <c r="J113" s="55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</row>
    <row r="114" spans="9:23" x14ac:dyDescent="0.25">
      <c r="I114" s="61">
        <v>111</v>
      </c>
      <c r="J114" s="55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</row>
    <row r="115" spans="9:23" x14ac:dyDescent="0.25">
      <c r="I115" s="61">
        <v>112</v>
      </c>
      <c r="J115" s="55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</row>
    <row r="116" spans="9:23" x14ac:dyDescent="0.25">
      <c r="I116" s="61">
        <v>113</v>
      </c>
      <c r="J116" s="55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</row>
    <row r="117" spans="9:23" x14ac:dyDescent="0.25">
      <c r="I117" s="61">
        <v>114</v>
      </c>
      <c r="J117" s="55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</row>
    <row r="118" spans="9:23" x14ac:dyDescent="0.25">
      <c r="I118" s="61">
        <v>115</v>
      </c>
      <c r="J118" s="55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</row>
    <row r="119" spans="9:23" x14ac:dyDescent="0.25">
      <c r="I119" s="61">
        <v>116</v>
      </c>
      <c r="J119" s="55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</row>
    <row r="120" spans="9:23" x14ac:dyDescent="0.25">
      <c r="I120" s="61">
        <v>117</v>
      </c>
      <c r="J120" s="55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</row>
    <row r="121" spans="9:23" x14ac:dyDescent="0.25">
      <c r="I121" s="61">
        <v>118</v>
      </c>
      <c r="J121" s="55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</row>
    <row r="122" spans="9:23" x14ac:dyDescent="0.25">
      <c r="I122" s="61">
        <v>119</v>
      </c>
      <c r="J122" s="55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</row>
    <row r="123" spans="9:23" x14ac:dyDescent="0.25">
      <c r="I123" s="61">
        <v>120</v>
      </c>
      <c r="J123" s="55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</row>
    <row r="124" spans="9:23" x14ac:dyDescent="0.25">
      <c r="I124" s="61">
        <v>121</v>
      </c>
      <c r="J124" s="55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</row>
    <row r="125" spans="9:23" x14ac:dyDescent="0.25">
      <c r="I125" s="61">
        <v>122</v>
      </c>
      <c r="J125" s="55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</row>
    <row r="126" spans="9:23" x14ac:dyDescent="0.25">
      <c r="I126" s="61">
        <v>123</v>
      </c>
      <c r="J126" s="55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</row>
    <row r="127" spans="9:23" x14ac:dyDescent="0.25">
      <c r="I127" s="61">
        <v>124</v>
      </c>
      <c r="J127" s="55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</row>
    <row r="128" spans="9:23" x14ac:dyDescent="0.25">
      <c r="I128" s="61">
        <v>125</v>
      </c>
      <c r="J128" s="55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</row>
    <row r="129" spans="9:23" x14ac:dyDescent="0.25">
      <c r="I129" s="61">
        <v>126</v>
      </c>
      <c r="J129" s="55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</row>
    <row r="130" spans="9:23" x14ac:dyDescent="0.25">
      <c r="I130" s="61">
        <v>127</v>
      </c>
      <c r="J130" s="55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</row>
    <row r="131" spans="9:23" x14ac:dyDescent="0.25">
      <c r="I131" s="61">
        <v>128</v>
      </c>
      <c r="J131" s="55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</row>
    <row r="132" spans="9:23" x14ac:dyDescent="0.25">
      <c r="I132" s="61">
        <v>129</v>
      </c>
      <c r="J132" s="55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</row>
    <row r="133" spans="9:23" x14ac:dyDescent="0.25">
      <c r="I133" s="61">
        <v>130</v>
      </c>
      <c r="J133" s="55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</row>
    <row r="134" spans="9:23" x14ac:dyDescent="0.25">
      <c r="I134" s="61">
        <v>131</v>
      </c>
      <c r="J134" s="55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</row>
    <row r="135" spans="9:23" x14ac:dyDescent="0.25">
      <c r="I135" s="61">
        <v>132</v>
      </c>
      <c r="J135" s="55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</row>
    <row r="136" spans="9:23" x14ac:dyDescent="0.25">
      <c r="I136" s="61">
        <v>133</v>
      </c>
      <c r="J136" s="55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</row>
    <row r="137" spans="9:23" x14ac:dyDescent="0.25">
      <c r="I137" s="61">
        <v>134</v>
      </c>
      <c r="J137" s="55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</row>
    <row r="138" spans="9:23" x14ac:dyDescent="0.25">
      <c r="I138" s="61">
        <v>135</v>
      </c>
      <c r="J138" s="55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</row>
    <row r="139" spans="9:23" x14ac:dyDescent="0.25">
      <c r="I139" s="61">
        <v>136</v>
      </c>
      <c r="J139" s="55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</row>
    <row r="140" spans="9:23" x14ac:dyDescent="0.25">
      <c r="I140" s="61">
        <v>137</v>
      </c>
      <c r="J140" s="55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</row>
    <row r="141" spans="9:23" x14ac:dyDescent="0.25">
      <c r="I141" s="61">
        <v>138</v>
      </c>
      <c r="J141" s="55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</row>
    <row r="142" spans="9:23" x14ac:dyDescent="0.25">
      <c r="I142" s="61">
        <v>139</v>
      </c>
      <c r="J142" s="55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</row>
    <row r="143" spans="9:23" x14ac:dyDescent="0.25">
      <c r="I143" s="61">
        <v>140</v>
      </c>
      <c r="J143" s="55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</row>
    <row r="144" spans="9:23" x14ac:dyDescent="0.25">
      <c r="I144" s="61">
        <v>141</v>
      </c>
      <c r="J144" s="55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</row>
    <row r="145" spans="9:23" x14ac:dyDescent="0.25">
      <c r="I145" s="61">
        <v>142</v>
      </c>
      <c r="J145" s="55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</row>
    <row r="146" spans="9:23" x14ac:dyDescent="0.25">
      <c r="I146" s="61">
        <v>143</v>
      </c>
      <c r="J146" s="55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</row>
    <row r="147" spans="9:23" x14ac:dyDescent="0.25">
      <c r="I147" s="61">
        <v>144</v>
      </c>
      <c r="J147" s="55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</row>
    <row r="148" spans="9:23" x14ac:dyDescent="0.25">
      <c r="I148" s="61">
        <v>145</v>
      </c>
      <c r="J148" s="55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</row>
    <row r="149" spans="9:23" x14ac:dyDescent="0.25">
      <c r="I149" s="61">
        <v>146</v>
      </c>
      <c r="J149" s="55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</row>
    <row r="150" spans="9:23" x14ac:dyDescent="0.25">
      <c r="I150" s="61">
        <v>147</v>
      </c>
      <c r="J150" s="55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</row>
    <row r="151" spans="9:23" x14ac:dyDescent="0.25">
      <c r="I151" s="61">
        <v>148</v>
      </c>
      <c r="J151" s="55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</row>
    <row r="152" spans="9:23" x14ac:dyDescent="0.25">
      <c r="I152" s="61">
        <v>149</v>
      </c>
      <c r="J152" s="55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</row>
    <row r="153" spans="9:23" x14ac:dyDescent="0.25">
      <c r="I153" s="61">
        <v>150</v>
      </c>
      <c r="J153" s="55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</row>
    <row r="154" spans="9:23" x14ac:dyDescent="0.25">
      <c r="I154" s="61">
        <v>151</v>
      </c>
      <c r="J154" s="55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</row>
    <row r="155" spans="9:23" x14ac:dyDescent="0.25">
      <c r="I155" s="61">
        <v>152</v>
      </c>
      <c r="J155" s="55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</row>
    <row r="156" spans="9:23" x14ac:dyDescent="0.25">
      <c r="I156" s="61">
        <v>153</v>
      </c>
      <c r="J156" s="55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</row>
    <row r="157" spans="9:23" x14ac:dyDescent="0.25">
      <c r="I157" s="61">
        <v>154</v>
      </c>
      <c r="J157" s="55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</row>
    <row r="158" spans="9:23" x14ac:dyDescent="0.25">
      <c r="I158" s="61">
        <v>155</v>
      </c>
      <c r="J158" s="55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</row>
    <row r="159" spans="9:23" x14ac:dyDescent="0.25">
      <c r="I159" s="61">
        <v>156</v>
      </c>
      <c r="J159" s="55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</row>
    <row r="160" spans="9:23" x14ac:dyDescent="0.25">
      <c r="I160" s="61">
        <v>157</v>
      </c>
      <c r="J160" s="55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</row>
    <row r="161" spans="9:23" x14ac:dyDescent="0.25">
      <c r="I161" s="61">
        <v>158</v>
      </c>
      <c r="J161" s="55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</row>
    <row r="162" spans="9:23" x14ac:dyDescent="0.25">
      <c r="I162" s="61">
        <v>159</v>
      </c>
      <c r="J162" s="55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</row>
    <row r="163" spans="9:23" x14ac:dyDescent="0.25">
      <c r="I163" s="61">
        <v>160</v>
      </c>
      <c r="J163" s="55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</row>
    <row r="164" spans="9:23" x14ac:dyDescent="0.25">
      <c r="I164" s="61">
        <v>161</v>
      </c>
      <c r="J164" s="55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</row>
    <row r="165" spans="9:23" x14ac:dyDescent="0.25">
      <c r="I165" s="61">
        <v>162</v>
      </c>
      <c r="J165" s="55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</row>
    <row r="166" spans="9:23" x14ac:dyDescent="0.25">
      <c r="I166" s="61">
        <v>163</v>
      </c>
      <c r="J166" s="55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</row>
    <row r="167" spans="9:23" x14ac:dyDescent="0.25">
      <c r="I167" s="61">
        <v>164</v>
      </c>
      <c r="J167" s="55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</row>
    <row r="168" spans="9:23" x14ac:dyDescent="0.25">
      <c r="I168" s="61">
        <v>165</v>
      </c>
      <c r="J168" s="55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</row>
    <row r="169" spans="9:23" x14ac:dyDescent="0.25">
      <c r="I169" s="61">
        <v>166</v>
      </c>
      <c r="J169" s="55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</row>
    <row r="170" spans="9:23" x14ac:dyDescent="0.25">
      <c r="I170" s="61">
        <v>167</v>
      </c>
      <c r="J170" s="55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</row>
    <row r="171" spans="9:23" x14ac:dyDescent="0.25">
      <c r="I171" s="61">
        <v>168</v>
      </c>
      <c r="J171" s="55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</row>
    <row r="172" spans="9:23" x14ac:dyDescent="0.25">
      <c r="I172" s="61">
        <v>169</v>
      </c>
      <c r="J172" s="55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</row>
    <row r="173" spans="9:23" x14ac:dyDescent="0.25">
      <c r="I173" s="61">
        <v>170</v>
      </c>
      <c r="J173" s="55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</row>
    <row r="174" spans="9:23" x14ac:dyDescent="0.25">
      <c r="I174" s="61">
        <v>171</v>
      </c>
      <c r="J174" s="55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</row>
    <row r="175" spans="9:23" x14ac:dyDescent="0.25">
      <c r="I175" s="61">
        <v>172</v>
      </c>
      <c r="J175" s="55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</row>
    <row r="176" spans="9:23" x14ac:dyDescent="0.25">
      <c r="I176" s="61">
        <v>173</v>
      </c>
      <c r="J176" s="55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</row>
    <row r="177" spans="9:23" x14ac:dyDescent="0.25">
      <c r="I177" s="61">
        <v>174</v>
      </c>
      <c r="J177" s="55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</row>
    <row r="178" spans="9:23" x14ac:dyDescent="0.25">
      <c r="I178" s="61">
        <v>175</v>
      </c>
      <c r="J178" s="55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</row>
    <row r="179" spans="9:23" x14ac:dyDescent="0.25">
      <c r="I179" s="61">
        <v>176</v>
      </c>
      <c r="J179" s="55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</row>
    <row r="180" spans="9:23" x14ac:dyDescent="0.25">
      <c r="I180" s="61">
        <v>177</v>
      </c>
      <c r="J180" s="55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</row>
    <row r="181" spans="9:23" x14ac:dyDescent="0.25">
      <c r="I181" s="61">
        <v>178</v>
      </c>
      <c r="J181" s="55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</row>
    <row r="182" spans="9:23" x14ac:dyDescent="0.25">
      <c r="I182" s="61">
        <v>179</v>
      </c>
      <c r="J182" s="55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</row>
    <row r="183" spans="9:23" x14ac:dyDescent="0.25">
      <c r="I183" s="61">
        <v>180</v>
      </c>
      <c r="J183" s="55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</row>
    <row r="184" spans="9:23" x14ac:dyDescent="0.25">
      <c r="I184" s="61">
        <v>181</v>
      </c>
      <c r="J184" s="55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</row>
    <row r="185" spans="9:23" x14ac:dyDescent="0.25">
      <c r="I185" s="61">
        <v>182</v>
      </c>
      <c r="J185" s="55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</row>
    <row r="186" spans="9:23" x14ac:dyDescent="0.25">
      <c r="I186" s="61">
        <v>183</v>
      </c>
      <c r="J186" s="55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</row>
    <row r="187" spans="9:23" x14ac:dyDescent="0.25">
      <c r="I187" s="61">
        <v>184</v>
      </c>
      <c r="J187" s="55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</row>
    <row r="188" spans="9:23" x14ac:dyDescent="0.25">
      <c r="I188" s="61">
        <v>185</v>
      </c>
      <c r="J188" s="55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</row>
    <row r="189" spans="9:23" x14ac:dyDescent="0.25">
      <c r="I189" s="61">
        <v>186</v>
      </c>
      <c r="J189" s="55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</row>
    <row r="190" spans="9:23" x14ac:dyDescent="0.25">
      <c r="I190" s="61">
        <v>187</v>
      </c>
      <c r="J190" s="55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</row>
    <row r="191" spans="9:23" x14ac:dyDescent="0.25">
      <c r="I191" s="61">
        <v>188</v>
      </c>
      <c r="J191" s="55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</row>
    <row r="192" spans="9:23" x14ac:dyDescent="0.25">
      <c r="I192" s="61">
        <v>189</v>
      </c>
      <c r="J192" s="55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</row>
    <row r="193" spans="9:23" x14ac:dyDescent="0.25">
      <c r="I193" s="61">
        <v>190</v>
      </c>
      <c r="J193" s="55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</row>
    <row r="194" spans="9:23" x14ac:dyDescent="0.25">
      <c r="I194" s="61">
        <v>191</v>
      </c>
      <c r="J194" s="55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</row>
    <row r="195" spans="9:23" x14ac:dyDescent="0.25">
      <c r="I195" s="61">
        <v>192</v>
      </c>
      <c r="J195" s="55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</row>
    <row r="196" spans="9:23" x14ac:dyDescent="0.25">
      <c r="I196" s="61">
        <v>193</v>
      </c>
      <c r="J196" s="55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</row>
    <row r="197" spans="9:23" x14ac:dyDescent="0.25">
      <c r="I197" s="61">
        <v>194</v>
      </c>
      <c r="J197" s="55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</row>
    <row r="198" spans="9:23" x14ac:dyDescent="0.25">
      <c r="I198" s="61">
        <v>195</v>
      </c>
      <c r="J198" s="55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</row>
    <row r="199" spans="9:23" x14ac:dyDescent="0.25">
      <c r="I199" s="61">
        <v>196</v>
      </c>
      <c r="J199" s="55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</row>
    <row r="200" spans="9:23" x14ac:dyDescent="0.25">
      <c r="I200" s="61">
        <v>197</v>
      </c>
      <c r="J200" s="55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</row>
    <row r="201" spans="9:23" x14ac:dyDescent="0.25">
      <c r="I201" s="61">
        <v>198</v>
      </c>
      <c r="J201" s="55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</row>
    <row r="202" spans="9:23" x14ac:dyDescent="0.25">
      <c r="I202" s="61">
        <v>199</v>
      </c>
      <c r="J202" s="55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</row>
    <row r="203" spans="9:23" x14ac:dyDescent="0.25">
      <c r="I203" s="61">
        <v>200</v>
      </c>
      <c r="J203" s="55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</row>
    <row r="204" spans="9:23" x14ac:dyDescent="0.25">
      <c r="I204" s="61">
        <v>201</v>
      </c>
      <c r="J204" s="55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</row>
    <row r="205" spans="9:23" x14ac:dyDescent="0.25">
      <c r="I205" s="61">
        <v>202</v>
      </c>
      <c r="J205" s="55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</row>
    <row r="206" spans="9:23" x14ac:dyDescent="0.25">
      <c r="I206" s="61">
        <v>203</v>
      </c>
      <c r="J206" s="55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</row>
    <row r="207" spans="9:23" x14ac:dyDescent="0.25">
      <c r="I207" s="61">
        <v>204</v>
      </c>
      <c r="J207" s="55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</row>
    <row r="208" spans="9:23" x14ac:dyDescent="0.25">
      <c r="I208" s="61">
        <v>205</v>
      </c>
      <c r="J208" s="55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</row>
    <row r="209" spans="7:23" x14ac:dyDescent="0.25">
      <c r="I209" s="61">
        <v>206</v>
      </c>
      <c r="J209" s="55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</row>
    <row r="210" spans="7:23" x14ac:dyDescent="0.25">
      <c r="I210" s="61">
        <v>207</v>
      </c>
      <c r="J210" s="55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</row>
    <row r="211" spans="7:23" x14ac:dyDescent="0.25">
      <c r="I211" s="61">
        <v>208</v>
      </c>
      <c r="J211" s="55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</row>
    <row r="212" spans="7:23" x14ac:dyDescent="0.25">
      <c r="I212" s="61">
        <v>209</v>
      </c>
      <c r="J212" s="55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</row>
    <row r="213" spans="7:23" x14ac:dyDescent="0.25">
      <c r="I213" s="61">
        <v>210</v>
      </c>
      <c r="J213" s="55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</row>
    <row r="214" spans="7:23" x14ac:dyDescent="0.25">
      <c r="I214" s="61">
        <v>211</v>
      </c>
      <c r="J214" s="55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</row>
    <row r="215" spans="7:23" x14ac:dyDescent="0.25">
      <c r="I215" s="61">
        <v>212</v>
      </c>
      <c r="J215" s="55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</row>
    <row r="216" spans="7:23" x14ac:dyDescent="0.25">
      <c r="I216" s="61">
        <v>213</v>
      </c>
      <c r="J216" s="55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</row>
    <row r="217" spans="7:23" x14ac:dyDescent="0.25">
      <c r="I217" s="61">
        <v>214</v>
      </c>
      <c r="J217" s="55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</row>
    <row r="218" spans="7:23" x14ac:dyDescent="0.25">
      <c r="I218" s="61">
        <v>215</v>
      </c>
      <c r="J218" s="55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</row>
    <row r="219" spans="7:23" x14ac:dyDescent="0.25">
      <c r="I219" s="61">
        <v>216</v>
      </c>
      <c r="J219" s="55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</row>
    <row r="220" spans="7:23" x14ac:dyDescent="0.25">
      <c r="I220" s="61">
        <v>217</v>
      </c>
      <c r="J220" s="55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</row>
    <row r="221" spans="7:23" x14ac:dyDescent="0.25">
      <c r="I221" s="61">
        <v>218</v>
      </c>
      <c r="J221" s="55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</row>
    <row r="222" spans="7:23" x14ac:dyDescent="0.25">
      <c r="G222" s="58"/>
      <c r="I222" s="61">
        <v>219</v>
      </c>
      <c r="J222" s="55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</row>
    <row r="223" spans="7:23" x14ac:dyDescent="0.25">
      <c r="G223" s="58"/>
      <c r="I223" s="61">
        <v>220</v>
      </c>
      <c r="J223" s="55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</row>
    <row r="224" spans="7:23" x14ac:dyDescent="0.25">
      <c r="G224" s="58"/>
      <c r="I224" s="61">
        <v>221</v>
      </c>
      <c r="J224" s="55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</row>
    <row r="225" spans="7:23" x14ac:dyDescent="0.25">
      <c r="G225" s="58"/>
      <c r="I225" s="61">
        <v>222</v>
      </c>
      <c r="J225" s="55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</row>
    <row r="226" spans="7:23" x14ac:dyDescent="0.25">
      <c r="G226" s="58"/>
      <c r="I226" s="61">
        <v>223</v>
      </c>
      <c r="J226" s="55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</row>
    <row r="227" spans="7:23" x14ac:dyDescent="0.25">
      <c r="G227" s="58"/>
      <c r="I227" s="61">
        <v>224</v>
      </c>
      <c r="J227" s="55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</row>
    <row r="228" spans="7:23" x14ac:dyDescent="0.25">
      <c r="G228" s="58"/>
      <c r="I228" s="61">
        <v>225</v>
      </c>
      <c r="J228" s="55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</row>
    <row r="229" spans="7:23" x14ac:dyDescent="0.25">
      <c r="G229" s="58"/>
      <c r="I229" s="61">
        <v>226</v>
      </c>
      <c r="J229" s="55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</row>
    <row r="230" spans="7:23" x14ac:dyDescent="0.25">
      <c r="G230" s="58"/>
      <c r="I230" s="61">
        <v>227</v>
      </c>
      <c r="J230" s="55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</row>
    <row r="231" spans="7:23" x14ac:dyDescent="0.25">
      <c r="G231" s="58"/>
      <c r="I231" s="61">
        <v>228</v>
      </c>
      <c r="J231" s="55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</row>
    <row r="232" spans="7:23" x14ac:dyDescent="0.25">
      <c r="G232" s="58"/>
      <c r="I232" s="61">
        <v>229</v>
      </c>
      <c r="J232" s="55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</row>
    <row r="233" spans="7:23" x14ac:dyDescent="0.25">
      <c r="G233" s="58"/>
      <c r="I233" s="61">
        <v>230</v>
      </c>
      <c r="J233" s="55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</row>
    <row r="234" spans="7:23" x14ac:dyDescent="0.25">
      <c r="G234" s="58"/>
      <c r="I234" s="61">
        <v>231</v>
      </c>
      <c r="J234" s="55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</row>
    <row r="235" spans="7:23" x14ac:dyDescent="0.25">
      <c r="G235" s="58"/>
      <c r="I235" s="61">
        <v>232</v>
      </c>
      <c r="J235" s="55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</row>
    <row r="236" spans="7:23" x14ac:dyDescent="0.25">
      <c r="G236" s="58"/>
      <c r="I236" s="61">
        <v>233</v>
      </c>
      <c r="J236" s="55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</row>
    <row r="237" spans="7:23" x14ac:dyDescent="0.25">
      <c r="G237" s="58"/>
      <c r="I237" s="61">
        <v>234</v>
      </c>
      <c r="J237" s="55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</row>
    <row r="238" spans="7:23" x14ac:dyDescent="0.25">
      <c r="G238" s="58"/>
      <c r="I238" s="61">
        <v>235</v>
      </c>
      <c r="J238" s="55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</row>
    <row r="239" spans="7:23" x14ac:dyDescent="0.25">
      <c r="G239" s="58"/>
      <c r="I239" s="61">
        <v>236</v>
      </c>
      <c r="J239" s="55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</row>
    <row r="240" spans="7:23" x14ac:dyDescent="0.25">
      <c r="G240" s="58"/>
      <c r="I240" s="61">
        <v>237</v>
      </c>
      <c r="J240" s="55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</row>
    <row r="241" spans="7:23" x14ac:dyDescent="0.25">
      <c r="G241" s="58"/>
      <c r="I241" s="61">
        <v>238</v>
      </c>
      <c r="J241" s="55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</row>
    <row r="242" spans="7:23" x14ac:dyDescent="0.25">
      <c r="G242" s="58"/>
      <c r="I242" s="61">
        <v>239</v>
      </c>
      <c r="J242" s="55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</row>
    <row r="243" spans="7:23" x14ac:dyDescent="0.25">
      <c r="G243" s="58"/>
      <c r="I243" s="61">
        <v>240</v>
      </c>
      <c r="J243" s="55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</row>
    <row r="244" spans="7:23" x14ac:dyDescent="0.25">
      <c r="G244" s="58"/>
      <c r="I244" s="61">
        <v>241</v>
      </c>
      <c r="J244" s="55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</row>
    <row r="245" spans="7:23" x14ac:dyDescent="0.25">
      <c r="G245" s="58"/>
      <c r="I245" s="61">
        <v>242</v>
      </c>
      <c r="J245" s="55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</row>
    <row r="246" spans="7:23" x14ac:dyDescent="0.25">
      <c r="G246" s="58"/>
      <c r="I246" s="61">
        <v>243</v>
      </c>
      <c r="J246" s="55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</row>
    <row r="247" spans="7:23" x14ac:dyDescent="0.25">
      <c r="G247" s="58"/>
      <c r="I247" s="61">
        <v>244</v>
      </c>
      <c r="J247" s="55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</row>
    <row r="248" spans="7:23" x14ac:dyDescent="0.25">
      <c r="G248" s="58"/>
      <c r="I248" s="61">
        <v>245</v>
      </c>
      <c r="J248" s="55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</row>
    <row r="249" spans="7:23" x14ac:dyDescent="0.25">
      <c r="G249" s="58"/>
      <c r="I249" s="61">
        <v>246</v>
      </c>
      <c r="J249" s="55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</row>
    <row r="250" spans="7:23" x14ac:dyDescent="0.25">
      <c r="G250" s="58"/>
      <c r="I250" s="61">
        <v>247</v>
      </c>
      <c r="J250" s="55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</row>
    <row r="251" spans="7:23" x14ac:dyDescent="0.25">
      <c r="G251" s="58"/>
      <c r="I251" s="61">
        <v>248</v>
      </c>
      <c r="J251" s="55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</row>
    <row r="252" spans="7:23" x14ac:dyDescent="0.25">
      <c r="G252" s="58"/>
      <c r="I252" s="61">
        <v>249</v>
      </c>
      <c r="J252" s="55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</row>
    <row r="253" spans="7:23" x14ac:dyDescent="0.25">
      <c r="G253" s="58"/>
      <c r="I253" s="61">
        <v>250</v>
      </c>
      <c r="J253" s="55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</row>
    <row r="254" spans="7:23" x14ac:dyDescent="0.25">
      <c r="G254" s="58"/>
      <c r="I254" s="61">
        <v>251</v>
      </c>
      <c r="J254" s="55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</row>
    <row r="255" spans="7:23" x14ac:dyDescent="0.25">
      <c r="G255" s="58"/>
      <c r="I255" s="61">
        <v>252</v>
      </c>
      <c r="J255" s="55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</row>
    <row r="256" spans="7:23" x14ac:dyDescent="0.25">
      <c r="G256" s="58"/>
      <c r="I256" s="61">
        <v>253</v>
      </c>
      <c r="J256" s="55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</row>
    <row r="257" spans="7:23" x14ac:dyDescent="0.25">
      <c r="G257" s="58"/>
      <c r="I257" s="61">
        <v>254</v>
      </c>
      <c r="J257" s="55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</row>
    <row r="258" spans="7:23" x14ac:dyDescent="0.25">
      <c r="G258" s="58"/>
      <c r="I258" s="61">
        <v>255</v>
      </c>
      <c r="J258" s="55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</row>
    <row r="259" spans="7:23" x14ac:dyDescent="0.25">
      <c r="G259" s="58"/>
    </row>
    <row r="260" spans="7:23" x14ac:dyDescent="0.25">
      <c r="G260" s="58"/>
    </row>
    <row r="261" spans="7:23" x14ac:dyDescent="0.25">
      <c r="G261" s="58"/>
    </row>
    <row r="262" spans="7:23" x14ac:dyDescent="0.25">
      <c r="G262" s="58"/>
    </row>
    <row r="263" spans="7:23" x14ac:dyDescent="0.25">
      <c r="G263" s="58"/>
    </row>
    <row r="264" spans="7:23" x14ac:dyDescent="0.25">
      <c r="G264" s="58"/>
    </row>
    <row r="265" spans="7:23" x14ac:dyDescent="0.25">
      <c r="G265" s="58"/>
    </row>
    <row r="266" spans="7:23" x14ac:dyDescent="0.25">
      <c r="G266" s="58"/>
    </row>
    <row r="267" spans="7:23" x14ac:dyDescent="0.25">
      <c r="G267" s="58"/>
    </row>
    <row r="268" spans="7:23" x14ac:dyDescent="0.25">
      <c r="G268" s="58"/>
    </row>
    <row r="269" spans="7:23" x14ac:dyDescent="0.25">
      <c r="G269" s="58"/>
    </row>
    <row r="270" spans="7:23" x14ac:dyDescent="0.25">
      <c r="G270" s="58"/>
    </row>
    <row r="271" spans="7:23" x14ac:dyDescent="0.25">
      <c r="G271" s="58"/>
    </row>
    <row r="272" spans="7:23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301" spans="12:22" x14ac:dyDescent="0.25">
      <c r="L301">
        <v>4</v>
      </c>
      <c r="M301">
        <v>9</v>
      </c>
      <c r="N301">
        <v>11000</v>
      </c>
      <c r="O301">
        <v>7778742049</v>
      </c>
      <c r="P301">
        <v>4807526976</v>
      </c>
      <c r="Q301">
        <v>16</v>
      </c>
      <c r="R301">
        <v>255</v>
      </c>
      <c r="T301">
        <v>1</v>
      </c>
      <c r="U301">
        <v>1</v>
      </c>
      <c r="V301">
        <v>1</v>
      </c>
    </row>
    <row r="302" spans="12:22" x14ac:dyDescent="0.25">
      <c r="L302">
        <v>5</v>
      </c>
      <c r="M302">
        <v>11</v>
      </c>
      <c r="N302">
        <v>1100</v>
      </c>
      <c r="O302">
        <v>7778742049</v>
      </c>
      <c r="P302">
        <v>4807526976</v>
      </c>
      <c r="Q302">
        <v>16</v>
      </c>
      <c r="R302">
        <v>255</v>
      </c>
      <c r="T302">
        <v>1</v>
      </c>
      <c r="U302">
        <v>1</v>
      </c>
      <c r="V302">
        <v>1</v>
      </c>
    </row>
    <row r="303" spans="12:22" x14ac:dyDescent="0.25">
      <c r="L303">
        <v>6</v>
      </c>
      <c r="M303">
        <v>13</v>
      </c>
      <c r="N303">
        <v>1000000</v>
      </c>
      <c r="O303">
        <v>7778742049</v>
      </c>
      <c r="P303">
        <v>4807526976</v>
      </c>
      <c r="Q303">
        <v>16</v>
      </c>
      <c r="R303">
        <v>255</v>
      </c>
      <c r="T303">
        <v>1</v>
      </c>
      <c r="U303">
        <v>1</v>
      </c>
      <c r="V303">
        <v>1</v>
      </c>
    </row>
    <row r="304" spans="12:22" x14ac:dyDescent="0.25">
      <c r="L304">
        <v>7</v>
      </c>
      <c r="M304">
        <v>15</v>
      </c>
      <c r="O304">
        <v>4807526976</v>
      </c>
      <c r="P304">
        <v>4807526976</v>
      </c>
      <c r="Q304">
        <v>16</v>
      </c>
      <c r="R304">
        <v>255</v>
      </c>
      <c r="T304">
        <v>1</v>
      </c>
      <c r="U304">
        <v>1</v>
      </c>
      <c r="V304">
        <v>1</v>
      </c>
    </row>
    <row r="305" spans="12:22" x14ac:dyDescent="0.25">
      <c r="L305">
        <v>8</v>
      </c>
      <c r="M305">
        <v>17</v>
      </c>
      <c r="O305">
        <v>4807526976</v>
      </c>
      <c r="P305">
        <v>7778742049</v>
      </c>
      <c r="Q305">
        <v>16</v>
      </c>
      <c r="R305">
        <v>255</v>
      </c>
      <c r="T305">
        <v>1</v>
      </c>
      <c r="U305">
        <v>1</v>
      </c>
      <c r="V305">
        <v>1</v>
      </c>
    </row>
    <row r="306" spans="12:22" x14ac:dyDescent="0.25">
      <c r="L306">
        <v>9</v>
      </c>
      <c r="M306">
        <v>8</v>
      </c>
      <c r="N306">
        <v>10000100</v>
      </c>
      <c r="O306">
        <v>4807526976</v>
      </c>
      <c r="P306">
        <v>7778742049</v>
      </c>
      <c r="Q306">
        <v>16</v>
      </c>
      <c r="R306">
        <v>255</v>
      </c>
      <c r="T306">
        <v>1</v>
      </c>
      <c r="U306">
        <v>1</v>
      </c>
      <c r="V306">
        <v>1</v>
      </c>
    </row>
    <row r="307" spans="12:22" x14ac:dyDescent="0.25">
      <c r="L307">
        <v>4</v>
      </c>
      <c r="M307">
        <v>9</v>
      </c>
      <c r="N307">
        <v>11000</v>
      </c>
      <c r="O307">
        <v>12586269025</v>
      </c>
      <c r="P307">
        <v>7778742049</v>
      </c>
      <c r="Q307">
        <v>16</v>
      </c>
      <c r="R307">
        <v>255</v>
      </c>
      <c r="T307">
        <v>1</v>
      </c>
      <c r="U307">
        <v>1</v>
      </c>
      <c r="V307">
        <v>1</v>
      </c>
    </row>
    <row r="308" spans="12:22" x14ac:dyDescent="0.25">
      <c r="L308">
        <v>5</v>
      </c>
      <c r="M308">
        <v>11</v>
      </c>
      <c r="N308">
        <v>1100</v>
      </c>
      <c r="O308">
        <v>12586269025</v>
      </c>
      <c r="P308">
        <v>7778742049</v>
      </c>
      <c r="Q308">
        <v>16</v>
      </c>
      <c r="R308">
        <v>255</v>
      </c>
      <c r="T308">
        <v>1</v>
      </c>
      <c r="U308">
        <v>1</v>
      </c>
      <c r="V308">
        <v>1</v>
      </c>
    </row>
    <row r="309" spans="12:22" x14ac:dyDescent="0.25">
      <c r="L309">
        <v>6</v>
      </c>
      <c r="M309">
        <v>13</v>
      </c>
      <c r="N309">
        <v>1000000</v>
      </c>
      <c r="O309">
        <v>12586269025</v>
      </c>
      <c r="P309">
        <v>7778742049</v>
      </c>
      <c r="Q309">
        <v>16</v>
      </c>
      <c r="R309">
        <v>255</v>
      </c>
      <c r="T309">
        <v>1</v>
      </c>
      <c r="U309">
        <v>1</v>
      </c>
      <c r="V309">
        <v>1</v>
      </c>
    </row>
    <row r="310" spans="12:22" x14ac:dyDescent="0.25">
      <c r="L310">
        <v>7</v>
      </c>
      <c r="M310">
        <v>15</v>
      </c>
      <c r="O310">
        <v>7778742049</v>
      </c>
      <c r="P310">
        <v>7778742049</v>
      </c>
      <c r="Q310">
        <v>16</v>
      </c>
      <c r="R310">
        <v>255</v>
      </c>
      <c r="T310">
        <v>1</v>
      </c>
      <c r="U310">
        <v>1</v>
      </c>
      <c r="V310">
        <v>1</v>
      </c>
    </row>
    <row r="311" spans="12:22" x14ac:dyDescent="0.25">
      <c r="L311">
        <v>8</v>
      </c>
      <c r="M311">
        <v>17</v>
      </c>
      <c r="O311">
        <v>7778742049</v>
      </c>
      <c r="P311">
        <v>12586269025</v>
      </c>
      <c r="Q311">
        <v>16</v>
      </c>
      <c r="R311">
        <v>255</v>
      </c>
      <c r="T311">
        <v>1</v>
      </c>
      <c r="U311">
        <v>1</v>
      </c>
      <c r="V311">
        <v>1</v>
      </c>
    </row>
    <row r="312" spans="12:22" x14ac:dyDescent="0.25">
      <c r="L312">
        <v>9</v>
      </c>
      <c r="M312">
        <v>8</v>
      </c>
      <c r="N312">
        <v>10000100</v>
      </c>
      <c r="O312">
        <v>7778742049</v>
      </c>
      <c r="P312">
        <v>12586269025</v>
      </c>
      <c r="Q312">
        <v>16</v>
      </c>
      <c r="R312">
        <v>255</v>
      </c>
      <c r="T312">
        <v>1</v>
      </c>
      <c r="U312">
        <v>1</v>
      </c>
      <c r="V312">
        <v>1</v>
      </c>
    </row>
    <row r="313" spans="12:22" x14ac:dyDescent="0.25">
      <c r="L313">
        <v>4</v>
      </c>
      <c r="M313">
        <v>9</v>
      </c>
      <c r="N313">
        <v>11000</v>
      </c>
      <c r="O313">
        <v>20365011074</v>
      </c>
      <c r="P313">
        <v>12586269025</v>
      </c>
      <c r="Q313">
        <v>16</v>
      </c>
      <c r="R313">
        <v>255</v>
      </c>
      <c r="T313">
        <v>1</v>
      </c>
      <c r="U313">
        <v>1</v>
      </c>
      <c r="V313">
        <v>1</v>
      </c>
    </row>
    <row r="314" spans="12:22" x14ac:dyDescent="0.25">
      <c r="L314">
        <v>5</v>
      </c>
      <c r="M314">
        <v>11</v>
      </c>
      <c r="N314">
        <v>1100</v>
      </c>
      <c r="O314">
        <v>20365011074</v>
      </c>
      <c r="P314">
        <v>12586269025</v>
      </c>
      <c r="Q314">
        <v>16</v>
      </c>
      <c r="R314">
        <v>255</v>
      </c>
      <c r="T314">
        <v>1</v>
      </c>
      <c r="U314">
        <v>1</v>
      </c>
      <c r="V314">
        <v>1</v>
      </c>
    </row>
    <row r="315" spans="12:22" x14ac:dyDescent="0.25">
      <c r="L315">
        <v>6</v>
      </c>
      <c r="M315">
        <v>13</v>
      </c>
      <c r="N315">
        <v>1000000</v>
      </c>
      <c r="O315">
        <v>20365011074</v>
      </c>
      <c r="P315">
        <v>12586269025</v>
      </c>
      <c r="Q315">
        <v>16</v>
      </c>
      <c r="R315">
        <v>255</v>
      </c>
      <c r="T315">
        <v>1</v>
      </c>
      <c r="U315">
        <v>1</v>
      </c>
      <c r="V315">
        <v>1</v>
      </c>
    </row>
    <row r="316" spans="12:22" x14ac:dyDescent="0.25">
      <c r="L316">
        <v>7</v>
      </c>
      <c r="M316">
        <v>15</v>
      </c>
      <c r="O316">
        <v>12586269025</v>
      </c>
      <c r="P316">
        <v>12586269025</v>
      </c>
      <c r="Q316">
        <v>16</v>
      </c>
      <c r="R316">
        <v>255</v>
      </c>
      <c r="T316">
        <v>1</v>
      </c>
      <c r="U316">
        <v>1</v>
      </c>
      <c r="V316">
        <v>1</v>
      </c>
    </row>
    <row r="317" spans="12:22" x14ac:dyDescent="0.25">
      <c r="L317">
        <v>8</v>
      </c>
      <c r="M317">
        <v>17</v>
      </c>
      <c r="O317">
        <v>12586269025</v>
      </c>
      <c r="P317">
        <v>20365011074</v>
      </c>
      <c r="Q317">
        <v>16</v>
      </c>
      <c r="R317">
        <v>255</v>
      </c>
      <c r="T317">
        <v>1</v>
      </c>
      <c r="U317">
        <v>1</v>
      </c>
      <c r="V317">
        <v>1</v>
      </c>
    </row>
    <row r="318" spans="12:22" x14ac:dyDescent="0.25">
      <c r="L318">
        <v>9</v>
      </c>
      <c r="M318">
        <v>8</v>
      </c>
      <c r="N318">
        <v>10000100</v>
      </c>
      <c r="O318">
        <v>12586269025</v>
      </c>
      <c r="P318">
        <v>20365011074</v>
      </c>
      <c r="Q318">
        <v>16</v>
      </c>
      <c r="R318">
        <v>255</v>
      </c>
      <c r="T318">
        <v>1</v>
      </c>
      <c r="U318">
        <v>1</v>
      </c>
      <c r="V318">
        <v>1</v>
      </c>
    </row>
    <row r="319" spans="12:22" x14ac:dyDescent="0.25">
      <c r="L319">
        <v>4</v>
      </c>
      <c r="M319">
        <v>9</v>
      </c>
      <c r="N319">
        <v>11000</v>
      </c>
      <c r="O319">
        <v>32951280099</v>
      </c>
      <c r="P319">
        <v>20365011074</v>
      </c>
      <c r="Q319">
        <v>16</v>
      </c>
      <c r="R319">
        <v>255</v>
      </c>
      <c r="T319">
        <v>1</v>
      </c>
      <c r="U319">
        <v>1</v>
      </c>
      <c r="V319">
        <v>1</v>
      </c>
    </row>
    <row r="320" spans="12:22" x14ac:dyDescent="0.25">
      <c r="L320">
        <v>5</v>
      </c>
      <c r="M320">
        <v>11</v>
      </c>
      <c r="N320">
        <v>1100</v>
      </c>
      <c r="O320">
        <v>32951280099</v>
      </c>
      <c r="P320">
        <v>20365011074</v>
      </c>
      <c r="Q320">
        <v>16</v>
      </c>
      <c r="R320">
        <v>255</v>
      </c>
      <c r="T320">
        <v>1</v>
      </c>
      <c r="U320">
        <v>1</v>
      </c>
      <c r="V320">
        <v>1</v>
      </c>
    </row>
    <row r="321" spans="12:22" x14ac:dyDescent="0.25">
      <c r="L321">
        <v>6</v>
      </c>
      <c r="M321">
        <v>13</v>
      </c>
      <c r="N321">
        <v>1000000</v>
      </c>
      <c r="O321">
        <v>32951280099</v>
      </c>
      <c r="P321">
        <v>20365011074</v>
      </c>
      <c r="Q321">
        <v>16</v>
      </c>
      <c r="R321">
        <v>255</v>
      </c>
      <c r="T321">
        <v>1</v>
      </c>
      <c r="U321">
        <v>1</v>
      </c>
      <c r="V321">
        <v>1</v>
      </c>
    </row>
    <row r="322" spans="12:22" x14ac:dyDescent="0.25">
      <c r="L322">
        <v>7</v>
      </c>
      <c r="M322">
        <v>15</v>
      </c>
      <c r="O322">
        <v>20365011074</v>
      </c>
      <c r="P322">
        <v>20365011074</v>
      </c>
      <c r="Q322">
        <v>16</v>
      </c>
      <c r="R322">
        <v>255</v>
      </c>
      <c r="T322">
        <v>1</v>
      </c>
      <c r="U322">
        <v>1</v>
      </c>
      <c r="V322">
        <v>1</v>
      </c>
    </row>
    <row r="323" spans="12:22" x14ac:dyDescent="0.25">
      <c r="L323">
        <v>8</v>
      </c>
      <c r="M323">
        <v>17</v>
      </c>
      <c r="O323">
        <v>20365011074</v>
      </c>
      <c r="P323">
        <v>32951280099</v>
      </c>
      <c r="Q323">
        <v>16</v>
      </c>
      <c r="R323">
        <v>255</v>
      </c>
      <c r="T323">
        <v>1</v>
      </c>
      <c r="U323">
        <v>1</v>
      </c>
      <c r="V323">
        <v>1</v>
      </c>
    </row>
    <row r="324" spans="12:22" x14ac:dyDescent="0.25">
      <c r="L324">
        <v>9</v>
      </c>
      <c r="M324">
        <v>8</v>
      </c>
      <c r="N324">
        <v>10000100</v>
      </c>
      <c r="O324">
        <v>20365011074</v>
      </c>
      <c r="P324">
        <v>32951280099</v>
      </c>
      <c r="Q324">
        <v>16</v>
      </c>
      <c r="R324">
        <v>255</v>
      </c>
      <c r="T324">
        <v>1</v>
      </c>
      <c r="U324">
        <v>1</v>
      </c>
      <c r="V324">
        <v>1</v>
      </c>
    </row>
    <row r="325" spans="12:22" x14ac:dyDescent="0.25">
      <c r="L325">
        <v>4</v>
      </c>
      <c r="M325">
        <v>9</v>
      </c>
      <c r="N325">
        <v>11000</v>
      </c>
      <c r="O325">
        <v>53316291173</v>
      </c>
      <c r="P325">
        <v>32951280099</v>
      </c>
      <c r="Q325">
        <v>16</v>
      </c>
      <c r="R325">
        <v>255</v>
      </c>
      <c r="T325">
        <v>1</v>
      </c>
      <c r="U325">
        <v>1</v>
      </c>
      <c r="V325">
        <v>1</v>
      </c>
    </row>
    <row r="326" spans="12:22" x14ac:dyDescent="0.25">
      <c r="L326">
        <v>5</v>
      </c>
      <c r="M326">
        <v>11</v>
      </c>
      <c r="N326">
        <v>1100</v>
      </c>
      <c r="O326">
        <v>53316291173</v>
      </c>
      <c r="P326">
        <v>32951280099</v>
      </c>
      <c r="Q326">
        <v>16</v>
      </c>
      <c r="R326">
        <v>255</v>
      </c>
      <c r="T326">
        <v>1</v>
      </c>
      <c r="U326">
        <v>1</v>
      </c>
      <c r="V326">
        <v>1</v>
      </c>
    </row>
    <row r="327" spans="12:22" x14ac:dyDescent="0.25">
      <c r="L327">
        <v>6</v>
      </c>
      <c r="M327">
        <v>13</v>
      </c>
      <c r="N327">
        <v>1000000</v>
      </c>
      <c r="O327">
        <v>53316291173</v>
      </c>
      <c r="P327">
        <v>32951280099</v>
      </c>
      <c r="Q327">
        <v>16</v>
      </c>
      <c r="R327">
        <v>255</v>
      </c>
      <c r="T327">
        <v>1</v>
      </c>
      <c r="U327">
        <v>1</v>
      </c>
      <c r="V327">
        <v>1</v>
      </c>
    </row>
    <row r="328" spans="12:22" x14ac:dyDescent="0.25">
      <c r="L328">
        <v>7</v>
      </c>
      <c r="M328">
        <v>15</v>
      </c>
      <c r="O328">
        <v>32951280099</v>
      </c>
      <c r="P328">
        <v>32951280099</v>
      </c>
      <c r="Q328">
        <v>16</v>
      </c>
      <c r="R328">
        <v>255</v>
      </c>
      <c r="T328">
        <v>1</v>
      </c>
      <c r="U328">
        <v>1</v>
      </c>
      <c r="V328">
        <v>1</v>
      </c>
    </row>
    <row r="329" spans="12:22" x14ac:dyDescent="0.25">
      <c r="L329">
        <v>8</v>
      </c>
      <c r="M329">
        <v>17</v>
      </c>
      <c r="O329">
        <v>32951280099</v>
      </c>
      <c r="P329">
        <v>53316291173</v>
      </c>
      <c r="Q329">
        <v>16</v>
      </c>
      <c r="R329">
        <v>255</v>
      </c>
      <c r="T329">
        <v>1</v>
      </c>
      <c r="U329">
        <v>1</v>
      </c>
      <c r="V329">
        <v>1</v>
      </c>
    </row>
    <row r="330" spans="12:22" x14ac:dyDescent="0.25">
      <c r="L330">
        <v>9</v>
      </c>
      <c r="M330">
        <v>8</v>
      </c>
      <c r="N330">
        <v>10000100</v>
      </c>
      <c r="O330">
        <v>32951280099</v>
      </c>
      <c r="P330">
        <v>53316291173</v>
      </c>
      <c r="Q330">
        <v>16</v>
      </c>
      <c r="R330">
        <v>255</v>
      </c>
      <c r="T330">
        <v>1</v>
      </c>
      <c r="U330">
        <v>1</v>
      </c>
      <c r="V330">
        <v>1</v>
      </c>
    </row>
    <row r="331" spans="12:22" x14ac:dyDescent="0.25">
      <c r="L331">
        <v>4</v>
      </c>
      <c r="M331">
        <v>9</v>
      </c>
      <c r="N331">
        <v>11000</v>
      </c>
      <c r="O331">
        <v>86267571272</v>
      </c>
      <c r="P331">
        <v>53316291173</v>
      </c>
      <c r="Q331">
        <v>16</v>
      </c>
      <c r="R331">
        <v>255</v>
      </c>
      <c r="T331">
        <v>1</v>
      </c>
      <c r="U331">
        <v>1</v>
      </c>
      <c r="V331">
        <v>1</v>
      </c>
    </row>
    <row r="332" spans="12:22" x14ac:dyDescent="0.25">
      <c r="L332">
        <v>5</v>
      </c>
      <c r="M332">
        <v>11</v>
      </c>
      <c r="N332">
        <v>1100</v>
      </c>
      <c r="O332">
        <v>86267571272</v>
      </c>
      <c r="P332">
        <v>53316291173</v>
      </c>
      <c r="Q332">
        <v>16</v>
      </c>
      <c r="R332">
        <v>255</v>
      </c>
      <c r="T332">
        <v>1</v>
      </c>
      <c r="U332">
        <v>1</v>
      </c>
      <c r="V332">
        <v>1</v>
      </c>
    </row>
    <row r="333" spans="12:22" x14ac:dyDescent="0.25">
      <c r="L333">
        <v>6</v>
      </c>
      <c r="M333">
        <v>13</v>
      </c>
      <c r="N333">
        <v>1000000</v>
      </c>
      <c r="O333">
        <v>86267571272</v>
      </c>
      <c r="P333">
        <v>53316291173</v>
      </c>
      <c r="Q333">
        <v>16</v>
      </c>
      <c r="R333">
        <v>255</v>
      </c>
      <c r="T333">
        <v>1</v>
      </c>
      <c r="U333">
        <v>1</v>
      </c>
      <c r="V333">
        <v>1</v>
      </c>
    </row>
    <row r="334" spans="12:22" x14ac:dyDescent="0.25">
      <c r="L334">
        <v>7</v>
      </c>
      <c r="M334">
        <v>15</v>
      </c>
      <c r="O334">
        <v>53316291173</v>
      </c>
      <c r="P334">
        <v>53316291173</v>
      </c>
      <c r="Q334">
        <v>16</v>
      </c>
      <c r="R334">
        <v>255</v>
      </c>
      <c r="T334">
        <v>1</v>
      </c>
      <c r="U334">
        <v>1</v>
      </c>
      <c r="V334">
        <v>1</v>
      </c>
    </row>
    <row r="335" spans="12:22" x14ac:dyDescent="0.25">
      <c r="L335">
        <v>8</v>
      </c>
      <c r="M335">
        <v>17</v>
      </c>
      <c r="O335">
        <v>53316291173</v>
      </c>
      <c r="P335">
        <v>86267571272</v>
      </c>
      <c r="Q335">
        <v>16</v>
      </c>
      <c r="R335">
        <v>255</v>
      </c>
      <c r="T335">
        <v>1</v>
      </c>
      <c r="U335">
        <v>1</v>
      </c>
      <c r="V335">
        <v>1</v>
      </c>
    </row>
    <row r="336" spans="12:22" x14ac:dyDescent="0.25">
      <c r="L336">
        <v>9</v>
      </c>
      <c r="M336">
        <v>8</v>
      </c>
      <c r="N336">
        <v>10000100</v>
      </c>
      <c r="O336">
        <v>53316291173</v>
      </c>
      <c r="P336">
        <v>86267571272</v>
      </c>
      <c r="Q336">
        <v>16</v>
      </c>
      <c r="R336">
        <v>255</v>
      </c>
      <c r="T336">
        <v>1</v>
      </c>
      <c r="U336">
        <v>1</v>
      </c>
      <c r="V336">
        <v>1</v>
      </c>
    </row>
    <row r="337" spans="12:22" x14ac:dyDescent="0.25">
      <c r="L337">
        <v>4</v>
      </c>
      <c r="M337">
        <v>9</v>
      </c>
      <c r="N337">
        <v>11000</v>
      </c>
      <c r="O337">
        <v>139583862445</v>
      </c>
      <c r="P337">
        <v>86267571272</v>
      </c>
      <c r="Q337">
        <v>16</v>
      </c>
      <c r="R337">
        <v>255</v>
      </c>
      <c r="T337">
        <v>1</v>
      </c>
      <c r="U337">
        <v>1</v>
      </c>
      <c r="V337">
        <v>1</v>
      </c>
    </row>
    <row r="338" spans="12:22" x14ac:dyDescent="0.25">
      <c r="L338">
        <v>5</v>
      </c>
      <c r="M338">
        <v>11</v>
      </c>
      <c r="N338">
        <v>1100</v>
      </c>
      <c r="O338">
        <v>139583862445</v>
      </c>
      <c r="P338">
        <v>86267571272</v>
      </c>
      <c r="Q338">
        <v>16</v>
      </c>
      <c r="R338">
        <v>255</v>
      </c>
      <c r="T338">
        <v>1</v>
      </c>
      <c r="U338">
        <v>1</v>
      </c>
      <c r="V338">
        <v>1</v>
      </c>
    </row>
    <row r="339" spans="12:22" x14ac:dyDescent="0.25">
      <c r="L339">
        <v>6</v>
      </c>
      <c r="M339">
        <v>13</v>
      </c>
      <c r="N339">
        <v>1000000</v>
      </c>
      <c r="O339">
        <v>139583862445</v>
      </c>
      <c r="P339">
        <v>86267571272</v>
      </c>
      <c r="Q339">
        <v>16</v>
      </c>
      <c r="R339">
        <v>255</v>
      </c>
      <c r="T339">
        <v>1</v>
      </c>
      <c r="U339">
        <v>1</v>
      </c>
      <c r="V339">
        <v>1</v>
      </c>
    </row>
    <row r="340" spans="12:22" x14ac:dyDescent="0.25">
      <c r="L340">
        <v>7</v>
      </c>
      <c r="M340">
        <v>15</v>
      </c>
      <c r="O340">
        <v>86267571272</v>
      </c>
      <c r="P340">
        <v>86267571272</v>
      </c>
      <c r="Q340">
        <v>16</v>
      </c>
      <c r="R340">
        <v>255</v>
      </c>
      <c r="T340">
        <v>1</v>
      </c>
      <c r="U340">
        <v>1</v>
      </c>
      <c r="V340">
        <v>1</v>
      </c>
    </row>
    <row r="341" spans="12:22" x14ac:dyDescent="0.25">
      <c r="L341">
        <v>8</v>
      </c>
      <c r="M341">
        <v>17</v>
      </c>
      <c r="O341">
        <v>86267571272</v>
      </c>
      <c r="P341">
        <v>139583862445</v>
      </c>
      <c r="Q341">
        <v>16</v>
      </c>
      <c r="R341">
        <v>255</v>
      </c>
      <c r="T341">
        <v>1</v>
      </c>
      <c r="U341">
        <v>1</v>
      </c>
      <c r="V341">
        <v>1</v>
      </c>
    </row>
    <row r="342" spans="12:22" x14ac:dyDescent="0.25">
      <c r="L342">
        <v>9</v>
      </c>
      <c r="M342">
        <v>8</v>
      </c>
      <c r="N342">
        <v>10000100</v>
      </c>
      <c r="O342">
        <v>86267571272</v>
      </c>
      <c r="P342">
        <v>139583862445</v>
      </c>
      <c r="Q342">
        <v>16</v>
      </c>
      <c r="R342">
        <v>255</v>
      </c>
      <c r="T342">
        <v>1</v>
      </c>
      <c r="U342">
        <v>1</v>
      </c>
      <c r="V342">
        <v>1</v>
      </c>
    </row>
    <row r="343" spans="12:22" x14ac:dyDescent="0.25">
      <c r="L343">
        <v>4</v>
      </c>
      <c r="M343">
        <v>9</v>
      </c>
      <c r="N343">
        <v>11000</v>
      </c>
      <c r="O343">
        <v>225851433717</v>
      </c>
      <c r="P343">
        <v>139583862445</v>
      </c>
      <c r="Q343">
        <v>16</v>
      </c>
      <c r="R343">
        <v>255</v>
      </c>
      <c r="T343">
        <v>1</v>
      </c>
      <c r="U343">
        <v>1</v>
      </c>
      <c r="V343">
        <v>1</v>
      </c>
    </row>
    <row r="344" spans="12:22" x14ac:dyDescent="0.25">
      <c r="L344">
        <v>5</v>
      </c>
      <c r="M344">
        <v>11</v>
      </c>
      <c r="N344">
        <v>1100</v>
      </c>
      <c r="O344">
        <v>225851433717</v>
      </c>
      <c r="P344">
        <v>139583862445</v>
      </c>
      <c r="Q344">
        <v>16</v>
      </c>
      <c r="R344">
        <v>255</v>
      </c>
      <c r="T344">
        <v>1</v>
      </c>
      <c r="U344">
        <v>1</v>
      </c>
      <c r="V344">
        <v>1</v>
      </c>
    </row>
    <row r="345" spans="12:22" x14ac:dyDescent="0.25">
      <c r="L345">
        <v>6</v>
      </c>
      <c r="M345">
        <v>13</v>
      </c>
      <c r="N345">
        <v>1000000</v>
      </c>
      <c r="O345">
        <v>225851433717</v>
      </c>
      <c r="P345">
        <v>139583862445</v>
      </c>
      <c r="Q345">
        <v>16</v>
      </c>
      <c r="R345">
        <v>255</v>
      </c>
      <c r="T345">
        <v>1</v>
      </c>
      <c r="U345">
        <v>1</v>
      </c>
      <c r="V345">
        <v>1</v>
      </c>
    </row>
    <row r="346" spans="12:22" x14ac:dyDescent="0.25">
      <c r="L346">
        <v>7</v>
      </c>
      <c r="M346">
        <v>15</v>
      </c>
      <c r="O346">
        <v>139583862445</v>
      </c>
      <c r="P346">
        <v>139583862445</v>
      </c>
      <c r="Q346">
        <v>16</v>
      </c>
      <c r="R346">
        <v>255</v>
      </c>
      <c r="T346">
        <v>1</v>
      </c>
      <c r="U346">
        <v>1</v>
      </c>
      <c r="V346">
        <v>1</v>
      </c>
    </row>
    <row r="347" spans="12:22" x14ac:dyDescent="0.25">
      <c r="L347">
        <v>8</v>
      </c>
      <c r="M347">
        <v>17</v>
      </c>
      <c r="O347">
        <v>139583862445</v>
      </c>
      <c r="P347">
        <v>225851433717</v>
      </c>
      <c r="Q347">
        <v>16</v>
      </c>
      <c r="R347">
        <v>255</v>
      </c>
      <c r="T347">
        <v>1</v>
      </c>
      <c r="U347">
        <v>1</v>
      </c>
      <c r="V347">
        <v>1</v>
      </c>
    </row>
    <row r="348" spans="12:22" x14ac:dyDescent="0.25">
      <c r="L348">
        <v>9</v>
      </c>
      <c r="M348">
        <v>8</v>
      </c>
      <c r="N348">
        <v>10000100</v>
      </c>
      <c r="O348">
        <v>139583862445</v>
      </c>
      <c r="P348">
        <v>225851433717</v>
      </c>
      <c r="Q348">
        <v>16</v>
      </c>
      <c r="R348">
        <v>255</v>
      </c>
      <c r="T348">
        <v>1</v>
      </c>
      <c r="U348">
        <v>1</v>
      </c>
      <c r="V348">
        <v>1</v>
      </c>
    </row>
    <row r="349" spans="12:22" x14ac:dyDescent="0.25">
      <c r="L349">
        <v>4</v>
      </c>
      <c r="M349">
        <v>9</v>
      </c>
      <c r="N349">
        <v>11000</v>
      </c>
      <c r="O349">
        <v>365435296162</v>
      </c>
      <c r="P349">
        <v>225851433717</v>
      </c>
      <c r="Q349">
        <v>16</v>
      </c>
      <c r="R349">
        <v>255</v>
      </c>
      <c r="T349">
        <v>1</v>
      </c>
      <c r="U349">
        <v>1</v>
      </c>
      <c r="V349">
        <v>1</v>
      </c>
    </row>
    <row r="350" spans="12:22" x14ac:dyDescent="0.25">
      <c r="L350">
        <v>5</v>
      </c>
      <c r="M350">
        <v>11</v>
      </c>
      <c r="N350">
        <v>1100</v>
      </c>
      <c r="O350">
        <v>365435296162</v>
      </c>
      <c r="P350">
        <v>225851433717</v>
      </c>
      <c r="Q350">
        <v>16</v>
      </c>
      <c r="R350">
        <v>255</v>
      </c>
      <c r="T350">
        <v>1</v>
      </c>
      <c r="U350">
        <v>1</v>
      </c>
      <c r="V350">
        <v>1</v>
      </c>
    </row>
    <row r="351" spans="12:22" x14ac:dyDescent="0.25">
      <c r="L351">
        <v>6</v>
      </c>
      <c r="M351">
        <v>13</v>
      </c>
      <c r="N351">
        <v>1000000</v>
      </c>
      <c r="O351">
        <v>365435296162</v>
      </c>
      <c r="P351">
        <v>225851433717</v>
      </c>
      <c r="Q351">
        <v>16</v>
      </c>
      <c r="R351">
        <v>255</v>
      </c>
      <c r="T351">
        <v>1</v>
      </c>
      <c r="U351">
        <v>1</v>
      </c>
      <c r="V351">
        <v>1</v>
      </c>
    </row>
    <row r="352" spans="12:22" x14ac:dyDescent="0.25">
      <c r="L352">
        <v>7</v>
      </c>
      <c r="M352">
        <v>15</v>
      </c>
      <c r="O352">
        <v>225851433717</v>
      </c>
      <c r="P352">
        <v>225851433717</v>
      </c>
      <c r="Q352">
        <v>16</v>
      </c>
      <c r="R352">
        <v>255</v>
      </c>
      <c r="T352">
        <v>1</v>
      </c>
      <c r="U352">
        <v>1</v>
      </c>
      <c r="V352">
        <v>1</v>
      </c>
    </row>
    <row r="353" spans="12:23" x14ac:dyDescent="0.25">
      <c r="L353">
        <v>8</v>
      </c>
      <c r="M353">
        <v>17</v>
      </c>
      <c r="O353">
        <v>225851433717</v>
      </c>
      <c r="P353">
        <v>365435296162</v>
      </c>
      <c r="Q353">
        <v>16</v>
      </c>
      <c r="R353">
        <v>255</v>
      </c>
      <c r="T353">
        <v>1</v>
      </c>
      <c r="U353">
        <v>1</v>
      </c>
      <c r="V353">
        <v>1</v>
      </c>
    </row>
    <row r="354" spans="12:23" x14ac:dyDescent="0.25">
      <c r="L354">
        <v>9</v>
      </c>
      <c r="M354">
        <v>8</v>
      </c>
      <c r="N354">
        <v>10000100</v>
      </c>
      <c r="O354">
        <v>225851433717</v>
      </c>
      <c r="P354">
        <v>365435296162</v>
      </c>
      <c r="Q354">
        <v>16</v>
      </c>
      <c r="R354">
        <v>255</v>
      </c>
      <c r="T354">
        <v>1</v>
      </c>
      <c r="U354">
        <v>1</v>
      </c>
      <c r="V354">
        <v>1</v>
      </c>
    </row>
    <row r="355" spans="12:23" x14ac:dyDescent="0.25">
      <c r="L355">
        <v>4</v>
      </c>
      <c r="M355">
        <v>9</v>
      </c>
      <c r="N355">
        <v>11000</v>
      </c>
      <c r="O355">
        <v>591286729879</v>
      </c>
      <c r="P355">
        <v>365435296162</v>
      </c>
      <c r="Q355">
        <v>16</v>
      </c>
      <c r="R355">
        <v>255</v>
      </c>
      <c r="T355">
        <v>1</v>
      </c>
      <c r="U355">
        <v>1</v>
      </c>
      <c r="V355">
        <v>1</v>
      </c>
    </row>
    <row r="356" spans="12:23" x14ac:dyDescent="0.25">
      <c r="L356">
        <v>5</v>
      </c>
      <c r="M356">
        <v>11</v>
      </c>
      <c r="N356">
        <v>1100</v>
      </c>
      <c r="O356">
        <v>591286729879</v>
      </c>
      <c r="P356">
        <v>365435296162</v>
      </c>
      <c r="Q356">
        <v>16</v>
      </c>
      <c r="R356">
        <v>255</v>
      </c>
      <c r="T356">
        <v>1</v>
      </c>
      <c r="U356">
        <v>1</v>
      </c>
      <c r="V356">
        <v>1</v>
      </c>
    </row>
    <row r="357" spans="12:23" x14ac:dyDescent="0.25">
      <c r="L357">
        <v>6</v>
      </c>
      <c r="M357">
        <v>13</v>
      </c>
      <c r="N357">
        <v>1000000</v>
      </c>
      <c r="O357">
        <v>591286729879</v>
      </c>
      <c r="P357">
        <v>365435296162</v>
      </c>
      <c r="Q357">
        <v>16</v>
      </c>
      <c r="R357">
        <v>255</v>
      </c>
      <c r="T357">
        <v>1</v>
      </c>
      <c r="U357">
        <v>1</v>
      </c>
      <c r="V357">
        <v>1</v>
      </c>
    </row>
    <row r="358" spans="12:23" x14ac:dyDescent="0.25">
      <c r="L358">
        <v>7</v>
      </c>
      <c r="M358">
        <v>15</v>
      </c>
      <c r="N358">
        <v>10000010</v>
      </c>
      <c r="O358">
        <v>1</v>
      </c>
      <c r="P358">
        <v>37</v>
      </c>
      <c r="Q358">
        <v>1</v>
      </c>
      <c r="R358">
        <v>33</v>
      </c>
      <c r="U358">
        <v>1</v>
      </c>
      <c r="V358">
        <v>1</v>
      </c>
      <c r="W358">
        <v>1</v>
      </c>
    </row>
    <row r="359" spans="12:23" x14ac:dyDescent="0.25">
      <c r="L359">
        <v>11</v>
      </c>
      <c r="M359">
        <v>17</v>
      </c>
      <c r="N359">
        <v>11001</v>
      </c>
      <c r="O359">
        <v>1</v>
      </c>
      <c r="P359">
        <v>37</v>
      </c>
      <c r="Q359">
        <v>1</v>
      </c>
      <c r="R359">
        <v>33</v>
      </c>
      <c r="U359">
        <v>1</v>
      </c>
      <c r="V359">
        <v>1</v>
      </c>
      <c r="W359">
        <v>1</v>
      </c>
    </row>
    <row r="360" spans="12:23" x14ac:dyDescent="0.25">
      <c r="L360">
        <v>12</v>
      </c>
      <c r="M360">
        <v>19</v>
      </c>
      <c r="N360">
        <v>111</v>
      </c>
      <c r="O360">
        <v>1</v>
      </c>
      <c r="P360">
        <v>37</v>
      </c>
      <c r="Q360">
        <v>1</v>
      </c>
      <c r="R360">
        <v>33</v>
      </c>
      <c r="U360">
        <v>1</v>
      </c>
      <c r="V360">
        <v>1</v>
      </c>
      <c r="W360">
        <v>1</v>
      </c>
    </row>
    <row r="361" spans="12:23" x14ac:dyDescent="0.25">
      <c r="L361">
        <v>13</v>
      </c>
      <c r="M361">
        <v>7</v>
      </c>
      <c r="N361">
        <v>10000001</v>
      </c>
      <c r="O361">
        <v>1</v>
      </c>
      <c r="P361">
        <v>37</v>
      </c>
      <c r="Q361">
        <v>1</v>
      </c>
      <c r="R361">
        <v>33</v>
      </c>
      <c r="U361">
        <v>1</v>
      </c>
      <c r="V361">
        <v>1</v>
      </c>
      <c r="W361">
        <v>1</v>
      </c>
    </row>
    <row r="362" spans="12:23" x14ac:dyDescent="0.25">
      <c r="L362">
        <v>5</v>
      </c>
      <c r="M362">
        <v>8</v>
      </c>
      <c r="N362">
        <v>1011000</v>
      </c>
      <c r="O362">
        <v>1</v>
      </c>
      <c r="P362">
        <v>38</v>
      </c>
      <c r="Q362">
        <v>1</v>
      </c>
      <c r="R362">
        <v>33</v>
      </c>
      <c r="U362">
        <v>1</v>
      </c>
      <c r="V362">
        <v>1</v>
      </c>
      <c r="W362">
        <v>1</v>
      </c>
    </row>
    <row r="363" spans="12:23" x14ac:dyDescent="0.25">
      <c r="L363">
        <v>6</v>
      </c>
      <c r="M363">
        <v>8</v>
      </c>
      <c r="N363">
        <v>1011000</v>
      </c>
      <c r="O363">
        <v>1</v>
      </c>
      <c r="P363">
        <v>38</v>
      </c>
      <c r="Q363">
        <v>1</v>
      </c>
      <c r="R363">
        <v>33</v>
      </c>
      <c r="U363">
        <v>1</v>
      </c>
      <c r="V363">
        <v>1</v>
      </c>
      <c r="W363">
        <v>1</v>
      </c>
    </row>
    <row r="364" spans="12:23" x14ac:dyDescent="0.25">
      <c r="L364">
        <v>7</v>
      </c>
      <c r="M364">
        <v>10</v>
      </c>
      <c r="N364">
        <v>100011</v>
      </c>
      <c r="O364">
        <v>1</v>
      </c>
      <c r="P364">
        <v>38</v>
      </c>
      <c r="Q364">
        <v>1</v>
      </c>
      <c r="R364">
        <v>33</v>
      </c>
      <c r="U364">
        <v>1</v>
      </c>
      <c r="V364">
        <v>1</v>
      </c>
      <c r="W364">
        <v>1</v>
      </c>
    </row>
    <row r="365" spans="12:23" x14ac:dyDescent="0.25">
      <c r="L365">
        <v>8</v>
      </c>
      <c r="M365">
        <v>12</v>
      </c>
      <c r="N365">
        <v>1110</v>
      </c>
      <c r="O365">
        <v>1</v>
      </c>
      <c r="P365">
        <v>38</v>
      </c>
      <c r="R365">
        <v>33</v>
      </c>
      <c r="U365">
        <v>1</v>
      </c>
      <c r="V365">
        <v>1</v>
      </c>
      <c r="W365">
        <v>1</v>
      </c>
    </row>
    <row r="366" spans="12:23" x14ac:dyDescent="0.25">
      <c r="L366">
        <v>9</v>
      </c>
      <c r="M366">
        <v>14</v>
      </c>
      <c r="N366">
        <v>1</v>
      </c>
      <c r="O366">
        <v>1</v>
      </c>
      <c r="P366">
        <v>38</v>
      </c>
      <c r="R366">
        <v>33</v>
      </c>
      <c r="U366">
        <v>1</v>
      </c>
      <c r="V366">
        <v>1</v>
      </c>
      <c r="W366">
        <v>1</v>
      </c>
    </row>
    <row r="367" spans="12:23" x14ac:dyDescent="0.25">
      <c r="L367">
        <v>10</v>
      </c>
      <c r="M367">
        <v>15</v>
      </c>
      <c r="N367">
        <v>10000010</v>
      </c>
      <c r="O367">
        <v>1</v>
      </c>
      <c r="P367">
        <v>38</v>
      </c>
      <c r="Q367">
        <v>1</v>
      </c>
      <c r="R367">
        <v>33</v>
      </c>
      <c r="U367">
        <v>1</v>
      </c>
      <c r="V367">
        <v>1</v>
      </c>
      <c r="W367">
        <v>1</v>
      </c>
    </row>
    <row r="368" spans="12:23" x14ac:dyDescent="0.25">
      <c r="L368">
        <v>11</v>
      </c>
      <c r="M368">
        <v>17</v>
      </c>
      <c r="N368">
        <v>11001</v>
      </c>
      <c r="O368">
        <v>1</v>
      </c>
      <c r="P368">
        <v>38</v>
      </c>
      <c r="Q368">
        <v>1</v>
      </c>
      <c r="R368">
        <v>33</v>
      </c>
      <c r="U368">
        <v>1</v>
      </c>
      <c r="V368">
        <v>1</v>
      </c>
      <c r="W368">
        <v>1</v>
      </c>
    </row>
    <row r="369" spans="12:23" x14ac:dyDescent="0.25">
      <c r="L369">
        <v>12</v>
      </c>
      <c r="M369">
        <v>19</v>
      </c>
      <c r="N369">
        <v>111</v>
      </c>
      <c r="O369">
        <v>1</v>
      </c>
      <c r="P369">
        <v>38</v>
      </c>
      <c r="Q369">
        <v>1</v>
      </c>
      <c r="R369">
        <v>33</v>
      </c>
      <c r="U369">
        <v>1</v>
      </c>
      <c r="V369">
        <v>1</v>
      </c>
      <c r="W369">
        <v>1</v>
      </c>
    </row>
    <row r="370" spans="12:23" x14ac:dyDescent="0.25">
      <c r="L370">
        <v>13</v>
      </c>
      <c r="M370">
        <v>7</v>
      </c>
      <c r="N370">
        <v>10000001</v>
      </c>
      <c r="O370">
        <v>1</v>
      </c>
      <c r="P370">
        <v>38</v>
      </c>
      <c r="Q370">
        <v>1</v>
      </c>
      <c r="R370">
        <v>33</v>
      </c>
      <c r="U370">
        <v>1</v>
      </c>
      <c r="V370">
        <v>1</v>
      </c>
      <c r="W370">
        <v>1</v>
      </c>
    </row>
    <row r="371" spans="12:23" x14ac:dyDescent="0.25">
      <c r="L371">
        <v>5</v>
      </c>
      <c r="M371">
        <v>8</v>
      </c>
      <c r="N371">
        <v>1011000</v>
      </c>
      <c r="O371">
        <v>1</v>
      </c>
      <c r="P371">
        <v>39</v>
      </c>
      <c r="Q371">
        <v>1</v>
      </c>
      <c r="R371">
        <v>33</v>
      </c>
      <c r="U371">
        <v>1</v>
      </c>
      <c r="V371">
        <v>1</v>
      </c>
      <c r="W371">
        <v>1</v>
      </c>
    </row>
    <row r="372" spans="12:23" x14ac:dyDescent="0.25">
      <c r="L372">
        <v>6</v>
      </c>
      <c r="M372">
        <v>8</v>
      </c>
      <c r="N372">
        <v>1011000</v>
      </c>
      <c r="O372">
        <v>1</v>
      </c>
      <c r="P372">
        <v>39</v>
      </c>
      <c r="Q372">
        <v>1</v>
      </c>
      <c r="R372">
        <v>33</v>
      </c>
      <c r="U372">
        <v>1</v>
      </c>
      <c r="V372">
        <v>1</v>
      </c>
      <c r="W372">
        <v>1</v>
      </c>
    </row>
    <row r="373" spans="12:23" x14ac:dyDescent="0.25">
      <c r="L373">
        <v>7</v>
      </c>
      <c r="M373">
        <v>10</v>
      </c>
      <c r="N373">
        <v>100011</v>
      </c>
      <c r="O373">
        <v>1</v>
      </c>
      <c r="P373">
        <v>39</v>
      </c>
      <c r="Q373">
        <v>1</v>
      </c>
      <c r="R373">
        <v>33</v>
      </c>
      <c r="U373">
        <v>1</v>
      </c>
      <c r="V373">
        <v>1</v>
      </c>
      <c r="W373">
        <v>1</v>
      </c>
    </row>
    <row r="374" spans="12:23" x14ac:dyDescent="0.25">
      <c r="L374">
        <v>8</v>
      </c>
      <c r="M374">
        <v>12</v>
      </c>
      <c r="N374">
        <v>1110</v>
      </c>
      <c r="O374">
        <v>1</v>
      </c>
      <c r="P374">
        <v>39</v>
      </c>
      <c r="R374">
        <v>33</v>
      </c>
      <c r="U374">
        <v>1</v>
      </c>
      <c r="V374">
        <v>1</v>
      </c>
      <c r="W374">
        <v>1</v>
      </c>
    </row>
    <row r="375" spans="12:23" x14ac:dyDescent="0.25">
      <c r="L375">
        <v>9</v>
      </c>
      <c r="M375">
        <v>14</v>
      </c>
      <c r="N375">
        <v>1</v>
      </c>
      <c r="O375">
        <v>1</v>
      </c>
      <c r="P375">
        <v>39</v>
      </c>
      <c r="R375">
        <v>33</v>
      </c>
      <c r="U375">
        <v>1</v>
      </c>
      <c r="V375">
        <v>1</v>
      </c>
      <c r="W375">
        <v>1</v>
      </c>
    </row>
    <row r="376" spans="12:23" x14ac:dyDescent="0.25">
      <c r="L376">
        <v>10</v>
      </c>
      <c r="M376">
        <v>15</v>
      </c>
      <c r="N376">
        <v>10000010</v>
      </c>
      <c r="O376">
        <v>1</v>
      </c>
      <c r="P376">
        <v>39</v>
      </c>
      <c r="Q376">
        <v>1</v>
      </c>
      <c r="R376">
        <v>33</v>
      </c>
      <c r="U376">
        <v>1</v>
      </c>
      <c r="V376">
        <v>1</v>
      </c>
      <c r="W376">
        <v>1</v>
      </c>
    </row>
    <row r="377" spans="12:23" x14ac:dyDescent="0.25">
      <c r="L377">
        <v>11</v>
      </c>
      <c r="M377">
        <v>17</v>
      </c>
      <c r="N377">
        <v>11001</v>
      </c>
      <c r="O377">
        <v>1</v>
      </c>
      <c r="P377">
        <v>39</v>
      </c>
      <c r="Q377">
        <v>1</v>
      </c>
      <c r="R377">
        <v>33</v>
      </c>
      <c r="U377">
        <v>1</v>
      </c>
      <c r="V377">
        <v>1</v>
      </c>
      <c r="W377">
        <v>1</v>
      </c>
    </row>
    <row r="378" spans="12:23" x14ac:dyDescent="0.25">
      <c r="L378">
        <v>12</v>
      </c>
      <c r="M378">
        <v>19</v>
      </c>
      <c r="N378">
        <v>111</v>
      </c>
      <c r="O378">
        <v>1</v>
      </c>
      <c r="P378">
        <v>39</v>
      </c>
      <c r="Q378">
        <v>1</v>
      </c>
      <c r="R378">
        <v>33</v>
      </c>
      <c r="U378">
        <v>1</v>
      </c>
      <c r="V378">
        <v>1</v>
      </c>
      <c r="W378">
        <v>1</v>
      </c>
    </row>
    <row r="379" spans="12:23" x14ac:dyDescent="0.25">
      <c r="L379">
        <v>13</v>
      </c>
      <c r="M379">
        <v>7</v>
      </c>
      <c r="N379">
        <v>10000001</v>
      </c>
      <c r="O379">
        <v>1</v>
      </c>
      <c r="P379">
        <v>39</v>
      </c>
      <c r="Q379">
        <v>1</v>
      </c>
      <c r="R379">
        <v>33</v>
      </c>
      <c r="U379">
        <v>1</v>
      </c>
      <c r="V379">
        <v>1</v>
      </c>
      <c r="W379">
        <v>1</v>
      </c>
    </row>
    <row r="380" spans="12:23" x14ac:dyDescent="0.25">
      <c r="L380">
        <v>5</v>
      </c>
      <c r="M380">
        <v>8</v>
      </c>
      <c r="N380">
        <v>1011000</v>
      </c>
      <c r="O380">
        <v>1</v>
      </c>
      <c r="P380">
        <v>40</v>
      </c>
      <c r="Q380">
        <v>1</v>
      </c>
      <c r="R380">
        <v>33</v>
      </c>
      <c r="U380">
        <v>1</v>
      </c>
      <c r="V380">
        <v>1</v>
      </c>
      <c r="W380">
        <v>1</v>
      </c>
    </row>
    <row r="381" spans="12:23" x14ac:dyDescent="0.25">
      <c r="L381">
        <v>6</v>
      </c>
      <c r="M381">
        <v>8</v>
      </c>
      <c r="N381">
        <v>1011000</v>
      </c>
      <c r="O381">
        <v>1</v>
      </c>
      <c r="P381">
        <v>40</v>
      </c>
      <c r="Q381">
        <v>1</v>
      </c>
      <c r="R381">
        <v>33</v>
      </c>
      <c r="U381">
        <v>1</v>
      </c>
      <c r="V381">
        <v>1</v>
      </c>
      <c r="W381">
        <v>1</v>
      </c>
    </row>
    <row r="382" spans="12:23" x14ac:dyDescent="0.25">
      <c r="L382">
        <v>7</v>
      </c>
      <c r="M382">
        <v>10</v>
      </c>
      <c r="N382">
        <v>100011</v>
      </c>
      <c r="O382">
        <v>1</v>
      </c>
      <c r="P382">
        <v>40</v>
      </c>
      <c r="Q382">
        <v>1</v>
      </c>
      <c r="R382">
        <v>33</v>
      </c>
      <c r="U382">
        <v>1</v>
      </c>
      <c r="V382">
        <v>1</v>
      </c>
      <c r="W382">
        <v>1</v>
      </c>
    </row>
    <row r="383" spans="12:23" x14ac:dyDescent="0.25">
      <c r="L383">
        <v>8</v>
      </c>
      <c r="M383">
        <v>12</v>
      </c>
      <c r="N383">
        <v>1110</v>
      </c>
      <c r="O383">
        <v>1</v>
      </c>
      <c r="P383">
        <v>40</v>
      </c>
      <c r="R383">
        <v>33</v>
      </c>
      <c r="U383">
        <v>1</v>
      </c>
      <c r="V383">
        <v>1</v>
      </c>
      <c r="W383">
        <v>1</v>
      </c>
    </row>
    <row r="384" spans="12:23" x14ac:dyDescent="0.25">
      <c r="L384">
        <v>9</v>
      </c>
      <c r="M384">
        <v>14</v>
      </c>
      <c r="N384">
        <v>1</v>
      </c>
      <c r="O384">
        <v>1</v>
      </c>
      <c r="P384">
        <v>40</v>
      </c>
      <c r="R384">
        <v>33</v>
      </c>
      <c r="U384">
        <v>1</v>
      </c>
      <c r="V384">
        <v>1</v>
      </c>
      <c r="W384">
        <v>1</v>
      </c>
    </row>
    <row r="385" spans="12:23" x14ac:dyDescent="0.25">
      <c r="L385">
        <v>10</v>
      </c>
      <c r="M385">
        <v>15</v>
      </c>
      <c r="N385">
        <v>10000010</v>
      </c>
      <c r="O385">
        <v>1</v>
      </c>
      <c r="P385">
        <v>40</v>
      </c>
      <c r="Q385">
        <v>1</v>
      </c>
      <c r="R385">
        <v>33</v>
      </c>
      <c r="U385">
        <v>1</v>
      </c>
      <c r="V385">
        <v>1</v>
      </c>
      <c r="W385">
        <v>1</v>
      </c>
    </row>
    <row r="386" spans="12:23" x14ac:dyDescent="0.25">
      <c r="L386">
        <v>11</v>
      </c>
      <c r="M386">
        <v>17</v>
      </c>
      <c r="N386">
        <v>11001</v>
      </c>
      <c r="O386">
        <v>1</v>
      </c>
      <c r="P386">
        <v>40</v>
      </c>
      <c r="Q386">
        <v>1</v>
      </c>
      <c r="R386">
        <v>33</v>
      </c>
      <c r="U386">
        <v>1</v>
      </c>
      <c r="V386">
        <v>1</v>
      </c>
      <c r="W386">
        <v>1</v>
      </c>
    </row>
    <row r="387" spans="12:23" x14ac:dyDescent="0.25">
      <c r="L387">
        <v>12</v>
      </c>
      <c r="M387">
        <v>19</v>
      </c>
      <c r="N387">
        <v>111</v>
      </c>
      <c r="O387">
        <v>1</v>
      </c>
      <c r="P387">
        <v>40</v>
      </c>
      <c r="Q387">
        <v>1</v>
      </c>
      <c r="R387">
        <v>33</v>
      </c>
      <c r="U387">
        <v>1</v>
      </c>
      <c r="V387">
        <v>1</v>
      </c>
      <c r="W387">
        <v>1</v>
      </c>
    </row>
    <row r="388" spans="12:23" x14ac:dyDescent="0.25">
      <c r="L388">
        <v>13</v>
      </c>
      <c r="M388">
        <v>7</v>
      </c>
      <c r="N388">
        <v>10000001</v>
      </c>
      <c r="O388">
        <v>1</v>
      </c>
      <c r="P388">
        <v>40</v>
      </c>
      <c r="Q388">
        <v>1</v>
      </c>
      <c r="R388">
        <v>33</v>
      </c>
      <c r="U388">
        <v>1</v>
      </c>
      <c r="V388">
        <v>1</v>
      </c>
      <c r="W388">
        <v>1</v>
      </c>
    </row>
    <row r="389" spans="12:23" x14ac:dyDescent="0.25">
      <c r="L389">
        <v>5</v>
      </c>
      <c r="M389">
        <v>8</v>
      </c>
      <c r="N389">
        <v>1011000</v>
      </c>
      <c r="O389">
        <v>1</v>
      </c>
      <c r="P389">
        <v>41</v>
      </c>
      <c r="Q389">
        <v>1</v>
      </c>
      <c r="R389">
        <v>33</v>
      </c>
      <c r="U389">
        <v>1</v>
      </c>
      <c r="V389">
        <v>1</v>
      </c>
      <c r="W389">
        <v>1</v>
      </c>
    </row>
    <row r="390" spans="12:23" x14ac:dyDescent="0.25">
      <c r="L390">
        <v>6</v>
      </c>
      <c r="M390">
        <v>8</v>
      </c>
      <c r="N390">
        <v>1011000</v>
      </c>
      <c r="O390">
        <v>1</v>
      </c>
      <c r="P390">
        <v>41</v>
      </c>
      <c r="Q390">
        <v>1</v>
      </c>
      <c r="R390">
        <v>33</v>
      </c>
      <c r="U390">
        <v>1</v>
      </c>
      <c r="V390">
        <v>1</v>
      </c>
      <c r="W390">
        <v>1</v>
      </c>
    </row>
    <row r="391" spans="12:23" x14ac:dyDescent="0.25">
      <c r="L391">
        <v>7</v>
      </c>
      <c r="M391">
        <v>10</v>
      </c>
      <c r="N391">
        <v>100011</v>
      </c>
      <c r="O391">
        <v>1</v>
      </c>
      <c r="P391">
        <v>41</v>
      </c>
      <c r="Q391">
        <v>1</v>
      </c>
      <c r="R391">
        <v>33</v>
      </c>
      <c r="U391">
        <v>1</v>
      </c>
      <c r="V391">
        <v>1</v>
      </c>
      <c r="W391">
        <v>1</v>
      </c>
    </row>
    <row r="392" spans="12:23" x14ac:dyDescent="0.25">
      <c r="L392">
        <v>8</v>
      </c>
      <c r="M392">
        <v>12</v>
      </c>
      <c r="N392">
        <v>1110</v>
      </c>
      <c r="O392">
        <v>1</v>
      </c>
      <c r="P392">
        <v>41</v>
      </c>
      <c r="R392">
        <v>33</v>
      </c>
      <c r="U392">
        <v>1</v>
      </c>
      <c r="V392">
        <v>1</v>
      </c>
      <c r="W392">
        <v>1</v>
      </c>
    </row>
    <row r="393" spans="12:23" x14ac:dyDescent="0.25">
      <c r="L393">
        <v>9</v>
      </c>
      <c r="M393">
        <v>14</v>
      </c>
      <c r="N393">
        <v>1</v>
      </c>
      <c r="O393">
        <v>1</v>
      </c>
      <c r="P393">
        <v>41</v>
      </c>
      <c r="R393">
        <v>33</v>
      </c>
      <c r="U393">
        <v>1</v>
      </c>
      <c r="V393">
        <v>1</v>
      </c>
      <c r="W393">
        <v>1</v>
      </c>
    </row>
    <row r="394" spans="12:23" x14ac:dyDescent="0.25">
      <c r="L394">
        <v>10</v>
      </c>
      <c r="M394">
        <v>15</v>
      </c>
      <c r="N394">
        <v>10000010</v>
      </c>
      <c r="O394">
        <v>1</v>
      </c>
      <c r="P394">
        <v>41</v>
      </c>
      <c r="Q394">
        <v>1</v>
      </c>
      <c r="R394">
        <v>33</v>
      </c>
      <c r="U394">
        <v>1</v>
      </c>
      <c r="V394">
        <v>1</v>
      </c>
      <c r="W394">
        <v>1</v>
      </c>
    </row>
    <row r="395" spans="12:23" x14ac:dyDescent="0.25">
      <c r="L395">
        <v>11</v>
      </c>
      <c r="M395">
        <v>17</v>
      </c>
      <c r="N395">
        <v>25</v>
      </c>
      <c r="O395">
        <v>1</v>
      </c>
      <c r="P395">
        <v>41</v>
      </c>
      <c r="Q395">
        <v>1</v>
      </c>
      <c r="R395">
        <v>33</v>
      </c>
      <c r="U395">
        <v>1</v>
      </c>
      <c r="V395">
        <v>1</v>
      </c>
      <c r="W395">
        <v>1</v>
      </c>
    </row>
    <row r="396" spans="12:23" x14ac:dyDescent="0.25">
      <c r="M396">
        <v>19</v>
      </c>
      <c r="N396">
        <v>7</v>
      </c>
      <c r="O396">
        <v>1</v>
      </c>
      <c r="P396">
        <v>41</v>
      </c>
      <c r="Q396">
        <v>1</v>
      </c>
      <c r="R396">
        <v>33</v>
      </c>
      <c r="U396">
        <v>1</v>
      </c>
      <c r="V396">
        <v>1</v>
      </c>
      <c r="W396">
        <v>1</v>
      </c>
    </row>
    <row r="397" spans="12:23" x14ac:dyDescent="0.25">
      <c r="M397">
        <v>7</v>
      </c>
      <c r="N397">
        <v>129</v>
      </c>
      <c r="O397">
        <v>1</v>
      </c>
      <c r="P397">
        <v>41</v>
      </c>
      <c r="Q397">
        <v>1</v>
      </c>
      <c r="R397">
        <v>33</v>
      </c>
      <c r="U397">
        <v>1</v>
      </c>
      <c r="V397">
        <v>1</v>
      </c>
      <c r="W397">
        <v>1</v>
      </c>
    </row>
    <row r="398" spans="12:23" x14ac:dyDescent="0.25">
      <c r="M398">
        <v>8</v>
      </c>
      <c r="N398">
        <v>88</v>
      </c>
      <c r="O398">
        <v>1</v>
      </c>
      <c r="P398">
        <v>42</v>
      </c>
      <c r="Q398">
        <v>1</v>
      </c>
      <c r="R398">
        <v>33</v>
      </c>
      <c r="U398">
        <v>1</v>
      </c>
      <c r="V398">
        <v>1</v>
      </c>
      <c r="W398">
        <v>1</v>
      </c>
    </row>
    <row r="399" spans="12:23" x14ac:dyDescent="0.25">
      <c r="M399">
        <v>8</v>
      </c>
      <c r="N399">
        <v>88</v>
      </c>
      <c r="O399">
        <v>1</v>
      </c>
      <c r="P399">
        <v>42</v>
      </c>
      <c r="Q399">
        <v>1</v>
      </c>
      <c r="R399">
        <v>33</v>
      </c>
      <c r="U399">
        <v>1</v>
      </c>
      <c r="V399">
        <v>1</v>
      </c>
      <c r="W399">
        <v>1</v>
      </c>
    </row>
    <row r="400" spans="12:23" x14ac:dyDescent="0.25">
      <c r="M400">
        <v>10</v>
      </c>
      <c r="N400">
        <v>35</v>
      </c>
      <c r="O400">
        <v>1</v>
      </c>
      <c r="P400">
        <v>42</v>
      </c>
      <c r="Q400">
        <v>1</v>
      </c>
      <c r="R400">
        <v>33</v>
      </c>
      <c r="U400">
        <v>1</v>
      </c>
      <c r="V400">
        <v>1</v>
      </c>
      <c r="W400">
        <v>1</v>
      </c>
    </row>
    <row r="401" spans="13:23" x14ac:dyDescent="0.25">
      <c r="M401">
        <v>12</v>
      </c>
      <c r="N401">
        <v>14</v>
      </c>
      <c r="O401">
        <v>1</v>
      </c>
      <c r="P401">
        <v>42</v>
      </c>
      <c r="R401">
        <v>33</v>
      </c>
      <c r="U401">
        <v>1</v>
      </c>
      <c r="V401">
        <v>1</v>
      </c>
      <c r="W401">
        <v>1</v>
      </c>
    </row>
    <row r="402" spans="13:23" x14ac:dyDescent="0.25">
      <c r="M402">
        <v>14</v>
      </c>
      <c r="N402">
        <v>1</v>
      </c>
      <c r="O402">
        <v>1</v>
      </c>
      <c r="P402">
        <v>42</v>
      </c>
      <c r="R402">
        <v>33</v>
      </c>
      <c r="U402">
        <v>1</v>
      </c>
      <c r="V402">
        <v>1</v>
      </c>
      <c r="W402">
        <v>1</v>
      </c>
    </row>
    <row r="403" spans="13:23" x14ac:dyDescent="0.25">
      <c r="M403">
        <v>15</v>
      </c>
      <c r="N403">
        <v>130</v>
      </c>
      <c r="O403">
        <v>1</v>
      </c>
      <c r="P403">
        <v>42</v>
      </c>
      <c r="Q403">
        <v>1</v>
      </c>
      <c r="R403">
        <v>33</v>
      </c>
      <c r="U403">
        <v>1</v>
      </c>
      <c r="V403">
        <v>1</v>
      </c>
      <c r="W403">
        <v>1</v>
      </c>
    </row>
    <row r="404" spans="13:23" x14ac:dyDescent="0.25">
      <c r="M404">
        <v>17</v>
      </c>
      <c r="N404">
        <v>25</v>
      </c>
      <c r="O404">
        <v>1</v>
      </c>
      <c r="P404">
        <v>42</v>
      </c>
      <c r="Q404">
        <v>1</v>
      </c>
      <c r="R404">
        <v>33</v>
      </c>
      <c r="U404">
        <v>1</v>
      </c>
      <c r="V404">
        <v>1</v>
      </c>
      <c r="W404">
        <v>1</v>
      </c>
    </row>
    <row r="405" spans="13:23" x14ac:dyDescent="0.25">
      <c r="M405">
        <v>19</v>
      </c>
      <c r="N405">
        <v>7</v>
      </c>
      <c r="O405">
        <v>1</v>
      </c>
      <c r="P405">
        <v>42</v>
      </c>
      <c r="Q405">
        <v>1</v>
      </c>
      <c r="R405">
        <v>33</v>
      </c>
      <c r="U405">
        <v>1</v>
      </c>
      <c r="V405">
        <v>1</v>
      </c>
      <c r="W405">
        <v>1</v>
      </c>
    </row>
    <row r="406" spans="13:23" x14ac:dyDescent="0.25">
      <c r="M406">
        <v>7</v>
      </c>
      <c r="N406">
        <v>129</v>
      </c>
      <c r="O406">
        <v>1</v>
      </c>
      <c r="P406">
        <v>42</v>
      </c>
      <c r="Q406">
        <v>1</v>
      </c>
      <c r="R406">
        <v>33</v>
      </c>
      <c r="U406">
        <v>1</v>
      </c>
      <c r="V406">
        <v>1</v>
      </c>
      <c r="W406">
        <v>1</v>
      </c>
    </row>
    <row r="407" spans="13:23" x14ac:dyDescent="0.25">
      <c r="M407">
        <v>8</v>
      </c>
      <c r="N407">
        <v>88</v>
      </c>
      <c r="O407">
        <v>1</v>
      </c>
      <c r="P407">
        <v>43</v>
      </c>
      <c r="Q407">
        <v>1</v>
      </c>
      <c r="R407">
        <v>33</v>
      </c>
      <c r="U407">
        <v>1</v>
      </c>
      <c r="V407">
        <v>1</v>
      </c>
      <c r="W407">
        <v>1</v>
      </c>
    </row>
    <row r="408" spans="13:23" x14ac:dyDescent="0.25">
      <c r="M408">
        <v>8</v>
      </c>
      <c r="N408">
        <v>88</v>
      </c>
      <c r="O408">
        <v>1</v>
      </c>
      <c r="P408">
        <v>43</v>
      </c>
      <c r="Q408">
        <v>1</v>
      </c>
      <c r="R408">
        <v>33</v>
      </c>
      <c r="U408">
        <v>1</v>
      </c>
      <c r="V408">
        <v>1</v>
      </c>
      <c r="W408">
        <v>1</v>
      </c>
    </row>
    <row r="409" spans="13:23" x14ac:dyDescent="0.25">
      <c r="M409">
        <v>10</v>
      </c>
      <c r="N409">
        <v>35</v>
      </c>
      <c r="O409">
        <v>1</v>
      </c>
      <c r="P409">
        <v>43</v>
      </c>
      <c r="Q409">
        <v>1</v>
      </c>
      <c r="R409">
        <v>33</v>
      </c>
      <c r="U409">
        <v>1</v>
      </c>
      <c r="V409">
        <v>1</v>
      </c>
      <c r="W409">
        <v>1</v>
      </c>
    </row>
    <row r="410" spans="13:23" x14ac:dyDescent="0.25">
      <c r="M410">
        <v>12</v>
      </c>
      <c r="N410">
        <v>14</v>
      </c>
      <c r="O410">
        <v>1</v>
      </c>
      <c r="P410">
        <v>43</v>
      </c>
      <c r="R410">
        <v>33</v>
      </c>
      <c r="U410">
        <v>1</v>
      </c>
      <c r="V410">
        <v>1</v>
      </c>
      <c r="W410">
        <v>1</v>
      </c>
    </row>
    <row r="411" spans="13:23" x14ac:dyDescent="0.25">
      <c r="M411">
        <v>14</v>
      </c>
      <c r="N411">
        <v>1</v>
      </c>
      <c r="O411">
        <v>1</v>
      </c>
      <c r="P411">
        <v>43</v>
      </c>
      <c r="R411">
        <v>33</v>
      </c>
      <c r="U411">
        <v>1</v>
      </c>
      <c r="V411">
        <v>1</v>
      </c>
      <c r="W411">
        <v>1</v>
      </c>
    </row>
    <row r="412" spans="13:23" x14ac:dyDescent="0.25">
      <c r="M412">
        <v>15</v>
      </c>
      <c r="N412">
        <v>130</v>
      </c>
      <c r="O412">
        <v>1</v>
      </c>
      <c r="P412">
        <v>43</v>
      </c>
      <c r="Q412">
        <v>1</v>
      </c>
      <c r="R412">
        <v>33</v>
      </c>
      <c r="U412">
        <v>1</v>
      </c>
      <c r="V412">
        <v>1</v>
      </c>
      <c r="W412">
        <v>1</v>
      </c>
    </row>
    <row r="413" spans="13:23" x14ac:dyDescent="0.25">
      <c r="M413">
        <v>17</v>
      </c>
      <c r="N413">
        <v>25</v>
      </c>
      <c r="O413">
        <v>1</v>
      </c>
      <c r="P413">
        <v>43</v>
      </c>
      <c r="Q413">
        <v>1</v>
      </c>
      <c r="R413">
        <v>33</v>
      </c>
      <c r="U413">
        <v>1</v>
      </c>
      <c r="V413">
        <v>1</v>
      </c>
      <c r="W413">
        <v>1</v>
      </c>
    </row>
    <row r="414" spans="13:23" x14ac:dyDescent="0.25">
      <c r="M414">
        <v>19</v>
      </c>
      <c r="N414">
        <v>7</v>
      </c>
      <c r="O414">
        <v>1</v>
      </c>
      <c r="P414">
        <v>43</v>
      </c>
      <c r="Q414">
        <v>1</v>
      </c>
      <c r="R414">
        <v>33</v>
      </c>
      <c r="U414">
        <v>1</v>
      </c>
      <c r="V414">
        <v>1</v>
      </c>
      <c r="W414">
        <v>1</v>
      </c>
    </row>
    <row r="415" spans="13:23" x14ac:dyDescent="0.25">
      <c r="M415">
        <v>7</v>
      </c>
      <c r="N415">
        <v>129</v>
      </c>
      <c r="O415">
        <v>1</v>
      </c>
      <c r="P415">
        <v>43</v>
      </c>
      <c r="Q415">
        <v>1</v>
      </c>
      <c r="R415">
        <v>33</v>
      </c>
      <c r="U415">
        <v>1</v>
      </c>
      <c r="V415">
        <v>1</v>
      </c>
      <c r="W415">
        <v>1</v>
      </c>
    </row>
    <row r="416" spans="13:23" x14ac:dyDescent="0.25">
      <c r="M416">
        <v>8</v>
      </c>
      <c r="N416">
        <v>88</v>
      </c>
      <c r="O416">
        <v>1</v>
      </c>
      <c r="P416">
        <v>44</v>
      </c>
      <c r="Q416">
        <v>1</v>
      </c>
      <c r="R416">
        <v>33</v>
      </c>
      <c r="U416">
        <v>1</v>
      </c>
      <c r="V416">
        <v>1</v>
      </c>
      <c r="W416">
        <v>1</v>
      </c>
    </row>
    <row r="417" spans="13:23" x14ac:dyDescent="0.25">
      <c r="M417">
        <v>8</v>
      </c>
      <c r="N417">
        <v>88</v>
      </c>
      <c r="O417">
        <v>1</v>
      </c>
      <c r="P417">
        <v>44</v>
      </c>
      <c r="Q417">
        <v>1</v>
      </c>
      <c r="R417">
        <v>33</v>
      </c>
      <c r="U417">
        <v>1</v>
      </c>
      <c r="V417">
        <v>1</v>
      </c>
      <c r="W417">
        <v>1</v>
      </c>
    </row>
    <row r="418" spans="13:23" x14ac:dyDescent="0.25">
      <c r="M418">
        <v>10</v>
      </c>
      <c r="N418">
        <v>35</v>
      </c>
      <c r="O418">
        <v>1</v>
      </c>
      <c r="P418">
        <v>44</v>
      </c>
      <c r="Q418">
        <v>1</v>
      </c>
      <c r="R418">
        <v>33</v>
      </c>
      <c r="U418">
        <v>1</v>
      </c>
      <c r="V418">
        <v>1</v>
      </c>
      <c r="W418">
        <v>1</v>
      </c>
    </row>
    <row r="419" spans="13:23" x14ac:dyDescent="0.25">
      <c r="M419">
        <v>12</v>
      </c>
      <c r="N419">
        <v>14</v>
      </c>
      <c r="O419">
        <v>1</v>
      </c>
      <c r="P419">
        <v>44</v>
      </c>
      <c r="R419">
        <v>33</v>
      </c>
      <c r="U419">
        <v>1</v>
      </c>
      <c r="V419">
        <v>1</v>
      </c>
      <c r="W419">
        <v>1</v>
      </c>
    </row>
    <row r="420" spans="13:23" x14ac:dyDescent="0.25">
      <c r="M420">
        <v>14</v>
      </c>
      <c r="N420">
        <v>1</v>
      </c>
      <c r="O420">
        <v>1</v>
      </c>
      <c r="P420">
        <v>44</v>
      </c>
      <c r="R420">
        <v>33</v>
      </c>
      <c r="U420">
        <v>1</v>
      </c>
      <c r="V420">
        <v>1</v>
      </c>
      <c r="W420">
        <v>1</v>
      </c>
    </row>
    <row r="421" spans="13:23" x14ac:dyDescent="0.25">
      <c r="M421">
        <v>15</v>
      </c>
      <c r="N421">
        <v>130</v>
      </c>
      <c r="O421">
        <v>1</v>
      </c>
      <c r="P421">
        <v>44</v>
      </c>
      <c r="Q421">
        <v>1</v>
      </c>
      <c r="R421">
        <v>33</v>
      </c>
      <c r="U421">
        <v>1</v>
      </c>
      <c r="V421">
        <v>1</v>
      </c>
      <c r="W421">
        <v>1</v>
      </c>
    </row>
    <row r="422" spans="13:23" x14ac:dyDescent="0.25">
      <c r="M422">
        <v>17</v>
      </c>
      <c r="N422">
        <v>25</v>
      </c>
      <c r="O422">
        <v>1</v>
      </c>
      <c r="P422">
        <v>44</v>
      </c>
      <c r="Q422">
        <v>1</v>
      </c>
      <c r="R422">
        <v>33</v>
      </c>
      <c r="U422">
        <v>1</v>
      </c>
      <c r="V422">
        <v>1</v>
      </c>
      <c r="W422">
        <v>1</v>
      </c>
    </row>
    <row r="423" spans="13:23" x14ac:dyDescent="0.25">
      <c r="M423">
        <v>19</v>
      </c>
      <c r="N423">
        <v>7</v>
      </c>
      <c r="O423">
        <v>1</v>
      </c>
      <c r="P423">
        <v>44</v>
      </c>
      <c r="Q423">
        <v>1</v>
      </c>
      <c r="R423">
        <v>33</v>
      </c>
      <c r="U423">
        <v>1</v>
      </c>
      <c r="V423">
        <v>1</v>
      </c>
      <c r="W423">
        <v>1</v>
      </c>
    </row>
    <row r="424" spans="13:23" x14ac:dyDescent="0.25">
      <c r="M424">
        <v>7</v>
      </c>
      <c r="N424">
        <v>129</v>
      </c>
      <c r="O424">
        <v>1</v>
      </c>
      <c r="P424">
        <v>44</v>
      </c>
      <c r="Q424">
        <v>1</v>
      </c>
      <c r="R424">
        <v>33</v>
      </c>
      <c r="U424">
        <v>1</v>
      </c>
      <c r="V424">
        <v>1</v>
      </c>
      <c r="W424">
        <v>1</v>
      </c>
    </row>
    <row r="425" spans="13:23" x14ac:dyDescent="0.25">
      <c r="M425">
        <v>8</v>
      </c>
      <c r="N425">
        <v>88</v>
      </c>
      <c r="O425">
        <v>1</v>
      </c>
      <c r="P425">
        <v>45</v>
      </c>
      <c r="Q425">
        <v>1</v>
      </c>
      <c r="R425">
        <v>33</v>
      </c>
      <c r="U425">
        <v>1</v>
      </c>
      <c r="V425">
        <v>1</v>
      </c>
      <c r="W425">
        <v>1</v>
      </c>
    </row>
    <row r="426" spans="13:23" x14ac:dyDescent="0.25">
      <c r="M426">
        <v>8</v>
      </c>
      <c r="N426">
        <v>88</v>
      </c>
      <c r="O426">
        <v>1</v>
      </c>
      <c r="P426">
        <v>45</v>
      </c>
      <c r="Q426">
        <v>1</v>
      </c>
      <c r="R426">
        <v>33</v>
      </c>
      <c r="U426">
        <v>1</v>
      </c>
      <c r="V426">
        <v>1</v>
      </c>
      <c r="W426">
        <v>1</v>
      </c>
    </row>
    <row r="427" spans="13:23" x14ac:dyDescent="0.25">
      <c r="M427">
        <v>10</v>
      </c>
      <c r="N427">
        <v>35</v>
      </c>
      <c r="O427">
        <v>1</v>
      </c>
      <c r="P427">
        <v>45</v>
      </c>
      <c r="Q427">
        <v>1</v>
      </c>
      <c r="R427">
        <v>33</v>
      </c>
      <c r="U427">
        <v>1</v>
      </c>
      <c r="V427">
        <v>1</v>
      </c>
      <c r="W427">
        <v>1</v>
      </c>
    </row>
    <row r="428" spans="13:23" x14ac:dyDescent="0.25">
      <c r="M428">
        <v>12</v>
      </c>
      <c r="N428">
        <v>14</v>
      </c>
      <c r="O428">
        <v>1</v>
      </c>
      <c r="P428">
        <v>45</v>
      </c>
      <c r="R428">
        <v>33</v>
      </c>
      <c r="U428">
        <v>1</v>
      </c>
      <c r="V428">
        <v>1</v>
      </c>
      <c r="W428">
        <v>1</v>
      </c>
    </row>
    <row r="429" spans="13:23" x14ac:dyDescent="0.25">
      <c r="M429">
        <v>14</v>
      </c>
      <c r="N429">
        <v>1</v>
      </c>
      <c r="O429">
        <v>1</v>
      </c>
      <c r="P429">
        <v>45</v>
      </c>
      <c r="R429">
        <v>33</v>
      </c>
      <c r="U429">
        <v>1</v>
      </c>
      <c r="V429">
        <v>1</v>
      </c>
      <c r="W429">
        <v>1</v>
      </c>
    </row>
    <row r="430" spans="13:23" x14ac:dyDescent="0.25">
      <c r="M430">
        <v>15</v>
      </c>
      <c r="N430">
        <v>130</v>
      </c>
      <c r="O430">
        <v>1</v>
      </c>
      <c r="P430">
        <v>45</v>
      </c>
      <c r="Q430">
        <v>1</v>
      </c>
      <c r="R430">
        <v>33</v>
      </c>
      <c r="U430">
        <v>1</v>
      </c>
      <c r="V430">
        <v>1</v>
      </c>
      <c r="W430">
        <v>1</v>
      </c>
    </row>
    <row r="431" spans="13:23" x14ac:dyDescent="0.25">
      <c r="M431">
        <v>17</v>
      </c>
      <c r="N431">
        <v>25</v>
      </c>
      <c r="O431">
        <v>1</v>
      </c>
      <c r="P431">
        <v>45</v>
      </c>
      <c r="Q431">
        <v>1</v>
      </c>
      <c r="R431">
        <v>33</v>
      </c>
      <c r="U431">
        <v>1</v>
      </c>
      <c r="V431">
        <v>1</v>
      </c>
      <c r="W431">
        <v>1</v>
      </c>
    </row>
    <row r="432" spans="13:23" x14ac:dyDescent="0.25">
      <c r="M432">
        <v>19</v>
      </c>
      <c r="N432">
        <v>7</v>
      </c>
      <c r="O432">
        <v>1</v>
      </c>
      <c r="P432">
        <v>45</v>
      </c>
      <c r="Q432">
        <v>1</v>
      </c>
      <c r="R432">
        <v>33</v>
      </c>
      <c r="U432">
        <v>1</v>
      </c>
      <c r="V432">
        <v>1</v>
      </c>
      <c r="W432">
        <v>1</v>
      </c>
    </row>
    <row r="433" spans="13:23" x14ac:dyDescent="0.25">
      <c r="M433">
        <v>7</v>
      </c>
      <c r="N433">
        <v>129</v>
      </c>
      <c r="O433">
        <v>1</v>
      </c>
      <c r="P433">
        <v>45</v>
      </c>
      <c r="Q433">
        <v>1</v>
      </c>
      <c r="R433">
        <v>33</v>
      </c>
      <c r="U433">
        <v>1</v>
      </c>
      <c r="V433">
        <v>1</v>
      </c>
      <c r="W433">
        <v>1</v>
      </c>
    </row>
    <row r="434" spans="13:23" x14ac:dyDescent="0.25">
      <c r="M434">
        <v>8</v>
      </c>
      <c r="N434">
        <v>88</v>
      </c>
      <c r="O434">
        <v>1</v>
      </c>
      <c r="P434">
        <v>46</v>
      </c>
      <c r="Q434">
        <v>1</v>
      </c>
      <c r="R434">
        <v>33</v>
      </c>
      <c r="U434">
        <v>1</v>
      </c>
      <c r="V434">
        <v>1</v>
      </c>
      <c r="W434">
        <v>1</v>
      </c>
    </row>
    <row r="435" spans="13:23" x14ac:dyDescent="0.25">
      <c r="M435">
        <v>8</v>
      </c>
      <c r="N435">
        <v>88</v>
      </c>
      <c r="O435">
        <v>1</v>
      </c>
      <c r="P435">
        <v>46</v>
      </c>
      <c r="Q435">
        <v>1</v>
      </c>
      <c r="R435">
        <v>33</v>
      </c>
      <c r="U435">
        <v>1</v>
      </c>
      <c r="V435">
        <v>1</v>
      </c>
      <c r="W435">
        <v>1</v>
      </c>
    </row>
    <row r="436" spans="13:23" x14ac:dyDescent="0.25">
      <c r="M436">
        <v>10</v>
      </c>
      <c r="N436">
        <v>35</v>
      </c>
      <c r="O436">
        <v>1</v>
      </c>
      <c r="P436">
        <v>46</v>
      </c>
      <c r="Q436">
        <v>1</v>
      </c>
      <c r="R436">
        <v>33</v>
      </c>
      <c r="U436">
        <v>1</v>
      </c>
      <c r="V436">
        <v>1</v>
      </c>
      <c r="W436">
        <v>1</v>
      </c>
    </row>
    <row r="437" spans="13:23" x14ac:dyDescent="0.25">
      <c r="M437">
        <v>12</v>
      </c>
      <c r="N437">
        <v>14</v>
      </c>
      <c r="O437">
        <v>1</v>
      </c>
      <c r="P437">
        <v>46</v>
      </c>
      <c r="R437">
        <v>33</v>
      </c>
      <c r="U437">
        <v>1</v>
      </c>
      <c r="V437">
        <v>1</v>
      </c>
      <c r="W437">
        <v>1</v>
      </c>
    </row>
    <row r="438" spans="13:23" x14ac:dyDescent="0.25">
      <c r="M438">
        <v>14</v>
      </c>
      <c r="N438">
        <v>1</v>
      </c>
      <c r="O438">
        <v>1</v>
      </c>
      <c r="P438">
        <v>46</v>
      </c>
      <c r="R438">
        <v>33</v>
      </c>
      <c r="U438">
        <v>1</v>
      </c>
      <c r="V438">
        <v>1</v>
      </c>
      <c r="W438">
        <v>1</v>
      </c>
    </row>
    <row r="439" spans="13:23" x14ac:dyDescent="0.25">
      <c r="M439">
        <v>15</v>
      </c>
      <c r="N439">
        <v>130</v>
      </c>
      <c r="O439">
        <v>1</v>
      </c>
      <c r="P439">
        <v>46</v>
      </c>
      <c r="Q439">
        <v>1</v>
      </c>
      <c r="R439">
        <v>33</v>
      </c>
      <c r="U439">
        <v>1</v>
      </c>
      <c r="V439">
        <v>1</v>
      </c>
      <c r="W439">
        <v>1</v>
      </c>
    </row>
    <row r="440" spans="13:23" x14ac:dyDescent="0.25">
      <c r="M440">
        <v>17</v>
      </c>
      <c r="N440">
        <v>25</v>
      </c>
      <c r="O440">
        <v>1</v>
      </c>
      <c r="P440">
        <v>46</v>
      </c>
      <c r="Q440">
        <v>1</v>
      </c>
      <c r="R440">
        <v>33</v>
      </c>
      <c r="U440">
        <v>1</v>
      </c>
      <c r="V440">
        <v>1</v>
      </c>
      <c r="W440">
        <v>1</v>
      </c>
    </row>
    <row r="441" spans="13:23" x14ac:dyDescent="0.25">
      <c r="M441">
        <v>19</v>
      </c>
      <c r="N441">
        <v>7</v>
      </c>
      <c r="O441">
        <v>1</v>
      </c>
      <c r="P441">
        <v>46</v>
      </c>
      <c r="Q441">
        <v>1</v>
      </c>
      <c r="R441">
        <v>33</v>
      </c>
      <c r="U441">
        <v>1</v>
      </c>
      <c r="V441">
        <v>1</v>
      </c>
      <c r="W441">
        <v>1</v>
      </c>
    </row>
    <row r="442" spans="13:23" x14ac:dyDescent="0.25">
      <c r="M442">
        <v>7</v>
      </c>
      <c r="N442">
        <v>129</v>
      </c>
      <c r="O442">
        <v>1</v>
      </c>
      <c r="P442">
        <v>46</v>
      </c>
      <c r="Q442">
        <v>1</v>
      </c>
      <c r="R442">
        <v>33</v>
      </c>
      <c r="U442">
        <v>1</v>
      </c>
      <c r="V442">
        <v>1</v>
      </c>
      <c r="W442">
        <v>1</v>
      </c>
    </row>
    <row r="443" spans="13:23" x14ac:dyDescent="0.25">
      <c r="M443">
        <v>8</v>
      </c>
      <c r="N443">
        <v>88</v>
      </c>
      <c r="O443">
        <v>1</v>
      </c>
      <c r="P443">
        <v>47</v>
      </c>
      <c r="Q443">
        <v>1</v>
      </c>
      <c r="R443">
        <v>33</v>
      </c>
      <c r="U443">
        <v>1</v>
      </c>
      <c r="V443">
        <v>1</v>
      </c>
      <c r="W443">
        <v>1</v>
      </c>
    </row>
    <row r="444" spans="13:23" x14ac:dyDescent="0.25">
      <c r="M444">
        <v>8</v>
      </c>
      <c r="N444">
        <v>88</v>
      </c>
      <c r="O444">
        <v>1</v>
      </c>
      <c r="P444">
        <v>47</v>
      </c>
      <c r="Q444">
        <v>1</v>
      </c>
      <c r="R444">
        <v>33</v>
      </c>
      <c r="U444">
        <v>1</v>
      </c>
      <c r="V444">
        <v>1</v>
      </c>
      <c r="W444">
        <v>1</v>
      </c>
    </row>
    <row r="445" spans="13:23" x14ac:dyDescent="0.25">
      <c r="M445">
        <v>10</v>
      </c>
      <c r="N445">
        <v>35</v>
      </c>
      <c r="O445">
        <v>1</v>
      </c>
      <c r="P445">
        <v>47</v>
      </c>
      <c r="Q445">
        <v>1</v>
      </c>
      <c r="R445">
        <v>33</v>
      </c>
      <c r="U445">
        <v>1</v>
      </c>
      <c r="V445">
        <v>1</v>
      </c>
      <c r="W445">
        <v>1</v>
      </c>
    </row>
    <row r="446" spans="13:23" x14ac:dyDescent="0.25">
      <c r="M446">
        <v>12</v>
      </c>
      <c r="N446">
        <v>14</v>
      </c>
      <c r="O446">
        <v>1</v>
      </c>
      <c r="P446">
        <v>47</v>
      </c>
      <c r="R446">
        <v>33</v>
      </c>
      <c r="U446">
        <v>1</v>
      </c>
      <c r="V446">
        <v>1</v>
      </c>
      <c r="W446">
        <v>1</v>
      </c>
    </row>
    <row r="447" spans="13:23" x14ac:dyDescent="0.25">
      <c r="M447">
        <v>14</v>
      </c>
      <c r="N447">
        <v>1</v>
      </c>
      <c r="O447">
        <v>1</v>
      </c>
      <c r="P447">
        <v>47</v>
      </c>
      <c r="R447">
        <v>33</v>
      </c>
      <c r="U447">
        <v>1</v>
      </c>
      <c r="V447">
        <v>1</v>
      </c>
      <c r="W447">
        <v>1</v>
      </c>
    </row>
    <row r="448" spans="13:23" x14ac:dyDescent="0.25">
      <c r="M448">
        <v>15</v>
      </c>
      <c r="N448">
        <v>130</v>
      </c>
      <c r="O448">
        <v>1</v>
      </c>
      <c r="P448">
        <v>47</v>
      </c>
      <c r="Q448">
        <v>1</v>
      </c>
      <c r="R448">
        <v>33</v>
      </c>
      <c r="U448">
        <v>1</v>
      </c>
      <c r="V448">
        <v>1</v>
      </c>
      <c r="W448">
        <v>1</v>
      </c>
    </row>
    <row r="449" spans="13:23" x14ac:dyDescent="0.25">
      <c r="M449">
        <v>17</v>
      </c>
      <c r="N449">
        <v>25</v>
      </c>
      <c r="O449">
        <v>1</v>
      </c>
      <c r="P449">
        <v>47</v>
      </c>
      <c r="Q449">
        <v>1</v>
      </c>
      <c r="R449">
        <v>33</v>
      </c>
      <c r="U449">
        <v>1</v>
      </c>
      <c r="V449">
        <v>1</v>
      </c>
      <c r="W449">
        <v>1</v>
      </c>
    </row>
    <row r="450" spans="13:23" x14ac:dyDescent="0.25">
      <c r="M450">
        <v>19</v>
      </c>
      <c r="N450">
        <v>7</v>
      </c>
      <c r="O450">
        <v>1</v>
      </c>
      <c r="P450">
        <v>47</v>
      </c>
      <c r="Q450">
        <v>1</v>
      </c>
      <c r="R450">
        <v>33</v>
      </c>
      <c r="U450">
        <v>1</v>
      </c>
      <c r="V450">
        <v>1</v>
      </c>
      <c r="W450">
        <v>1</v>
      </c>
    </row>
    <row r="451" spans="13:23" x14ac:dyDescent="0.25">
      <c r="M451">
        <v>7</v>
      </c>
      <c r="N451">
        <v>129</v>
      </c>
      <c r="O451">
        <v>1</v>
      </c>
      <c r="P451">
        <v>47</v>
      </c>
      <c r="Q451">
        <v>1</v>
      </c>
      <c r="R451">
        <v>33</v>
      </c>
      <c r="U451">
        <v>1</v>
      </c>
      <c r="V451">
        <v>1</v>
      </c>
      <c r="W451">
        <v>1</v>
      </c>
    </row>
    <row r="452" spans="13:23" x14ac:dyDescent="0.25">
      <c r="M452">
        <v>8</v>
      </c>
      <c r="N452">
        <v>88</v>
      </c>
      <c r="O452">
        <v>1</v>
      </c>
      <c r="P452">
        <v>48</v>
      </c>
      <c r="Q452">
        <v>1</v>
      </c>
      <c r="R452">
        <v>33</v>
      </c>
      <c r="U452">
        <v>1</v>
      </c>
      <c r="V452">
        <v>1</v>
      </c>
      <c r="W452">
        <v>1</v>
      </c>
    </row>
    <row r="453" spans="13:23" x14ac:dyDescent="0.25">
      <c r="M453">
        <v>8</v>
      </c>
      <c r="N453">
        <v>88</v>
      </c>
      <c r="O453">
        <v>1</v>
      </c>
      <c r="P453">
        <v>48</v>
      </c>
      <c r="Q453">
        <v>1</v>
      </c>
      <c r="R453">
        <v>33</v>
      </c>
      <c r="U453">
        <v>1</v>
      </c>
      <c r="V453">
        <v>1</v>
      </c>
      <c r="W453">
        <v>1</v>
      </c>
    </row>
    <row r="454" spans="13:23" x14ac:dyDescent="0.25">
      <c r="M454">
        <v>10</v>
      </c>
      <c r="N454">
        <v>35</v>
      </c>
      <c r="O454">
        <v>1</v>
      </c>
      <c r="P454">
        <v>48</v>
      </c>
      <c r="Q454">
        <v>1</v>
      </c>
      <c r="R454">
        <v>33</v>
      </c>
      <c r="U454">
        <v>1</v>
      </c>
      <c r="V454">
        <v>1</v>
      </c>
      <c r="W454">
        <v>1</v>
      </c>
    </row>
    <row r="455" spans="13:23" x14ac:dyDescent="0.25">
      <c r="M455">
        <v>12</v>
      </c>
      <c r="N455">
        <v>14</v>
      </c>
      <c r="O455">
        <v>1</v>
      </c>
      <c r="P455">
        <v>48</v>
      </c>
      <c r="R455">
        <v>33</v>
      </c>
      <c r="U455">
        <v>1</v>
      </c>
      <c r="V455">
        <v>1</v>
      </c>
      <c r="W455">
        <v>1</v>
      </c>
    </row>
    <row r="456" spans="13:23" x14ac:dyDescent="0.25">
      <c r="M456">
        <v>14</v>
      </c>
      <c r="N456">
        <v>1</v>
      </c>
      <c r="O456">
        <v>1</v>
      </c>
      <c r="P456">
        <v>48</v>
      </c>
      <c r="R456">
        <v>33</v>
      </c>
      <c r="U456">
        <v>1</v>
      </c>
      <c r="V456">
        <v>1</v>
      </c>
      <c r="W456">
        <v>1</v>
      </c>
    </row>
    <row r="457" spans="13:23" x14ac:dyDescent="0.25">
      <c r="M457">
        <v>15</v>
      </c>
      <c r="N457">
        <v>130</v>
      </c>
      <c r="O457">
        <v>1</v>
      </c>
      <c r="P457">
        <v>48</v>
      </c>
      <c r="Q457">
        <v>1</v>
      </c>
      <c r="R457">
        <v>33</v>
      </c>
      <c r="U457">
        <v>1</v>
      </c>
      <c r="V457">
        <v>1</v>
      </c>
      <c r="W457">
        <v>1</v>
      </c>
    </row>
    <row r="458" spans="13:23" x14ac:dyDescent="0.25">
      <c r="M458">
        <v>17</v>
      </c>
      <c r="N458">
        <v>25</v>
      </c>
      <c r="O458">
        <v>1</v>
      </c>
      <c r="P458">
        <v>48</v>
      </c>
      <c r="Q458">
        <v>1</v>
      </c>
      <c r="R458">
        <v>33</v>
      </c>
      <c r="U458">
        <v>1</v>
      </c>
      <c r="V458">
        <v>1</v>
      </c>
      <c r="W458">
        <v>1</v>
      </c>
    </row>
    <row r="459" spans="13:23" x14ac:dyDescent="0.25">
      <c r="M459">
        <v>19</v>
      </c>
      <c r="N459">
        <v>7</v>
      </c>
      <c r="O459">
        <v>1</v>
      </c>
      <c r="P459">
        <v>48</v>
      </c>
      <c r="Q459">
        <v>1</v>
      </c>
      <c r="R459">
        <v>33</v>
      </c>
      <c r="U459">
        <v>1</v>
      </c>
      <c r="V459">
        <v>1</v>
      </c>
      <c r="W459">
        <v>1</v>
      </c>
    </row>
    <row r="460" spans="13:23" x14ac:dyDescent="0.25">
      <c r="M460">
        <v>7</v>
      </c>
      <c r="N460">
        <v>129</v>
      </c>
      <c r="O460">
        <v>1</v>
      </c>
      <c r="P460">
        <v>48</v>
      </c>
      <c r="Q460">
        <v>1</v>
      </c>
      <c r="R460">
        <v>33</v>
      </c>
      <c r="U460">
        <v>1</v>
      </c>
      <c r="V460">
        <v>1</v>
      </c>
      <c r="W460">
        <v>1</v>
      </c>
    </row>
    <row r="461" spans="13:23" x14ac:dyDescent="0.25">
      <c r="M461">
        <v>8</v>
      </c>
      <c r="N461">
        <v>88</v>
      </c>
      <c r="O461">
        <v>1</v>
      </c>
      <c r="P461">
        <v>49</v>
      </c>
      <c r="Q461">
        <v>1</v>
      </c>
      <c r="R461">
        <v>33</v>
      </c>
      <c r="U461">
        <v>1</v>
      </c>
      <c r="V461">
        <v>1</v>
      </c>
      <c r="W461">
        <v>1</v>
      </c>
    </row>
    <row r="462" spans="13:23" x14ac:dyDescent="0.25">
      <c r="M462">
        <v>8</v>
      </c>
      <c r="N462">
        <v>88</v>
      </c>
      <c r="O462">
        <v>1</v>
      </c>
      <c r="P462">
        <v>49</v>
      </c>
      <c r="Q462">
        <v>1</v>
      </c>
      <c r="R462">
        <v>33</v>
      </c>
      <c r="U462">
        <v>1</v>
      </c>
      <c r="V462">
        <v>1</v>
      </c>
      <c r="W462">
        <v>1</v>
      </c>
    </row>
    <row r="463" spans="13:23" x14ac:dyDescent="0.25">
      <c r="M463">
        <v>10</v>
      </c>
      <c r="N463">
        <v>35</v>
      </c>
      <c r="O463">
        <v>1</v>
      </c>
      <c r="P463">
        <v>49</v>
      </c>
      <c r="Q463">
        <v>1</v>
      </c>
      <c r="R463">
        <v>33</v>
      </c>
      <c r="U463">
        <v>1</v>
      </c>
      <c r="V463">
        <v>1</v>
      </c>
      <c r="W463">
        <v>1</v>
      </c>
    </row>
    <row r="464" spans="13:23" x14ac:dyDescent="0.25">
      <c r="M464">
        <v>12</v>
      </c>
      <c r="N464">
        <v>14</v>
      </c>
      <c r="O464">
        <v>1</v>
      </c>
      <c r="P464">
        <v>49</v>
      </c>
      <c r="R464">
        <v>33</v>
      </c>
      <c r="U464">
        <v>1</v>
      </c>
      <c r="V464">
        <v>1</v>
      </c>
      <c r="W464">
        <v>1</v>
      </c>
    </row>
    <row r="465" spans="13:23" x14ac:dyDescent="0.25">
      <c r="M465">
        <v>14</v>
      </c>
      <c r="N465">
        <v>1</v>
      </c>
      <c r="O465">
        <v>1</v>
      </c>
      <c r="P465">
        <v>49</v>
      </c>
      <c r="R465">
        <v>33</v>
      </c>
      <c r="U465">
        <v>1</v>
      </c>
      <c r="V465">
        <v>1</v>
      </c>
      <c r="W465">
        <v>1</v>
      </c>
    </row>
    <row r="466" spans="13:23" x14ac:dyDescent="0.25">
      <c r="M466">
        <v>15</v>
      </c>
      <c r="N466">
        <v>130</v>
      </c>
      <c r="O466">
        <v>1</v>
      </c>
      <c r="P466">
        <v>49</v>
      </c>
      <c r="Q466">
        <v>1</v>
      </c>
      <c r="R466">
        <v>33</v>
      </c>
      <c r="U466">
        <v>1</v>
      </c>
      <c r="V466">
        <v>1</v>
      </c>
      <c r="W466">
        <v>1</v>
      </c>
    </row>
    <row r="467" spans="13:23" x14ac:dyDescent="0.25">
      <c r="M467">
        <v>17</v>
      </c>
      <c r="N467">
        <v>25</v>
      </c>
      <c r="O467">
        <v>1</v>
      </c>
      <c r="P467">
        <v>49</v>
      </c>
      <c r="Q467">
        <v>1</v>
      </c>
      <c r="R467">
        <v>33</v>
      </c>
      <c r="U467">
        <v>1</v>
      </c>
      <c r="V467">
        <v>1</v>
      </c>
      <c r="W467">
        <v>1</v>
      </c>
    </row>
    <row r="468" spans="13:23" x14ac:dyDescent="0.25">
      <c r="M468">
        <v>19</v>
      </c>
      <c r="N468">
        <v>7</v>
      </c>
      <c r="O468">
        <v>1</v>
      </c>
      <c r="P468">
        <v>49</v>
      </c>
      <c r="Q468">
        <v>1</v>
      </c>
      <c r="R468">
        <v>33</v>
      </c>
      <c r="U468">
        <v>1</v>
      </c>
      <c r="V468">
        <v>1</v>
      </c>
      <c r="W468">
        <v>1</v>
      </c>
    </row>
    <row r="469" spans="13:23" x14ac:dyDescent="0.25">
      <c r="M469">
        <v>7</v>
      </c>
      <c r="N469">
        <v>129</v>
      </c>
      <c r="O469">
        <v>1</v>
      </c>
      <c r="P469">
        <v>49</v>
      </c>
      <c r="Q469">
        <v>1</v>
      </c>
      <c r="R469">
        <v>33</v>
      </c>
      <c r="U469">
        <v>1</v>
      </c>
      <c r="V469">
        <v>1</v>
      </c>
      <c r="W469">
        <v>1</v>
      </c>
    </row>
    <row r="470" spans="13:23" x14ac:dyDescent="0.25">
      <c r="M470">
        <v>8</v>
      </c>
      <c r="N470">
        <v>88</v>
      </c>
      <c r="O470">
        <v>1</v>
      </c>
      <c r="P470">
        <v>50</v>
      </c>
      <c r="Q470">
        <v>1</v>
      </c>
      <c r="R470">
        <v>33</v>
      </c>
      <c r="U470">
        <v>1</v>
      </c>
      <c r="V470">
        <v>1</v>
      </c>
      <c r="W470">
        <v>1</v>
      </c>
    </row>
    <row r="471" spans="13:23" x14ac:dyDescent="0.25">
      <c r="M471">
        <v>8</v>
      </c>
      <c r="N471">
        <v>88</v>
      </c>
      <c r="O471">
        <v>1</v>
      </c>
      <c r="P471">
        <v>50</v>
      </c>
      <c r="Q471">
        <v>1</v>
      </c>
      <c r="R471">
        <v>33</v>
      </c>
      <c r="U471">
        <v>1</v>
      </c>
      <c r="V471">
        <v>1</v>
      </c>
      <c r="W471">
        <v>1</v>
      </c>
    </row>
    <row r="472" spans="13:23" x14ac:dyDescent="0.25">
      <c r="M472">
        <v>10</v>
      </c>
      <c r="N472">
        <v>35</v>
      </c>
      <c r="O472">
        <v>1</v>
      </c>
      <c r="P472">
        <v>50</v>
      </c>
      <c r="Q472">
        <v>1</v>
      </c>
      <c r="R472">
        <v>33</v>
      </c>
      <c r="U472">
        <v>1</v>
      </c>
      <c r="V472">
        <v>1</v>
      </c>
      <c r="W472">
        <v>1</v>
      </c>
    </row>
    <row r="473" spans="13:23" x14ac:dyDescent="0.25">
      <c r="M473">
        <v>12</v>
      </c>
      <c r="N473">
        <v>14</v>
      </c>
      <c r="O473">
        <v>1</v>
      </c>
      <c r="P473">
        <v>50</v>
      </c>
      <c r="R473">
        <v>33</v>
      </c>
      <c r="U473">
        <v>1</v>
      </c>
      <c r="V473">
        <v>1</v>
      </c>
      <c r="W473">
        <v>1</v>
      </c>
    </row>
    <row r="474" spans="13:23" x14ac:dyDescent="0.25">
      <c r="M474">
        <v>14</v>
      </c>
      <c r="N474">
        <v>1</v>
      </c>
      <c r="O474">
        <v>1</v>
      </c>
      <c r="P474">
        <v>50</v>
      </c>
      <c r="R474">
        <v>33</v>
      </c>
      <c r="U474">
        <v>1</v>
      </c>
      <c r="V474">
        <v>1</v>
      </c>
      <c r="W474">
        <v>1</v>
      </c>
    </row>
    <row r="475" spans="13:23" x14ac:dyDescent="0.25">
      <c r="M475">
        <v>15</v>
      </c>
      <c r="N475">
        <v>130</v>
      </c>
      <c r="O475">
        <v>1</v>
      </c>
      <c r="P475">
        <v>50</v>
      </c>
      <c r="Q475">
        <v>1</v>
      </c>
      <c r="R475">
        <v>33</v>
      </c>
      <c r="U475">
        <v>1</v>
      </c>
      <c r="V475">
        <v>1</v>
      </c>
      <c r="W475">
        <v>1</v>
      </c>
    </row>
    <row r="476" spans="13:23" x14ac:dyDescent="0.25">
      <c r="M476">
        <v>17</v>
      </c>
      <c r="N476">
        <v>25</v>
      </c>
      <c r="O476">
        <v>1</v>
      </c>
      <c r="P476">
        <v>50</v>
      </c>
      <c r="Q476">
        <v>1</v>
      </c>
      <c r="R476">
        <v>33</v>
      </c>
      <c r="U476">
        <v>1</v>
      </c>
      <c r="V476">
        <v>1</v>
      </c>
      <c r="W476">
        <v>1</v>
      </c>
    </row>
    <row r="477" spans="13:23" x14ac:dyDescent="0.25">
      <c r="M477">
        <v>19</v>
      </c>
      <c r="N477">
        <v>7</v>
      </c>
      <c r="O477">
        <v>1</v>
      </c>
      <c r="P477">
        <v>50</v>
      </c>
      <c r="Q477">
        <v>1</v>
      </c>
      <c r="R477">
        <v>33</v>
      </c>
      <c r="U477">
        <v>1</v>
      </c>
      <c r="V477">
        <v>1</v>
      </c>
      <c r="W477">
        <v>1</v>
      </c>
    </row>
    <row r="478" spans="13:23" x14ac:dyDescent="0.25">
      <c r="M478">
        <v>7</v>
      </c>
      <c r="N478">
        <v>129</v>
      </c>
      <c r="O478">
        <v>1</v>
      </c>
      <c r="P478">
        <v>50</v>
      </c>
      <c r="Q478">
        <v>1</v>
      </c>
      <c r="R478">
        <v>33</v>
      </c>
      <c r="U478">
        <v>1</v>
      </c>
      <c r="V478">
        <v>1</v>
      </c>
      <c r="W478">
        <v>1</v>
      </c>
    </row>
    <row r="479" spans="13:23" x14ac:dyDescent="0.25">
      <c r="M479">
        <v>8</v>
      </c>
      <c r="N479">
        <v>88</v>
      </c>
      <c r="O479">
        <v>1</v>
      </c>
      <c r="P479">
        <v>51</v>
      </c>
      <c r="Q479">
        <v>1</v>
      </c>
      <c r="R479">
        <v>33</v>
      </c>
      <c r="U479">
        <v>1</v>
      </c>
      <c r="V479">
        <v>1</v>
      </c>
      <c r="W479">
        <v>1</v>
      </c>
    </row>
    <row r="480" spans="13:23" x14ac:dyDescent="0.25">
      <c r="M480">
        <v>8</v>
      </c>
      <c r="N480">
        <v>88</v>
      </c>
      <c r="O480">
        <v>1</v>
      </c>
      <c r="P480">
        <v>51</v>
      </c>
      <c r="Q480">
        <v>1</v>
      </c>
      <c r="R480">
        <v>33</v>
      </c>
      <c r="U480">
        <v>1</v>
      </c>
      <c r="V480">
        <v>1</v>
      </c>
      <c r="W480">
        <v>1</v>
      </c>
    </row>
    <row r="481" spans="13:23" x14ac:dyDescent="0.25">
      <c r="M481">
        <v>10</v>
      </c>
      <c r="N481">
        <v>35</v>
      </c>
      <c r="O481">
        <v>1</v>
      </c>
      <c r="P481">
        <v>51</v>
      </c>
      <c r="Q481">
        <v>1</v>
      </c>
      <c r="R481">
        <v>33</v>
      </c>
      <c r="U481">
        <v>1</v>
      </c>
      <c r="V481">
        <v>1</v>
      </c>
      <c r="W481">
        <v>1</v>
      </c>
    </row>
    <row r="482" spans="13:23" x14ac:dyDescent="0.25">
      <c r="M482">
        <v>12</v>
      </c>
      <c r="N482">
        <v>14</v>
      </c>
      <c r="O482">
        <v>1</v>
      </c>
      <c r="P482">
        <v>51</v>
      </c>
      <c r="R482">
        <v>33</v>
      </c>
      <c r="U482">
        <v>1</v>
      </c>
      <c r="V482">
        <v>1</v>
      </c>
      <c r="W482">
        <v>1</v>
      </c>
    </row>
    <row r="483" spans="13:23" x14ac:dyDescent="0.25">
      <c r="M483">
        <v>14</v>
      </c>
      <c r="N483">
        <v>1</v>
      </c>
      <c r="O483">
        <v>1</v>
      </c>
      <c r="P483">
        <v>51</v>
      </c>
      <c r="R483">
        <v>33</v>
      </c>
      <c r="U483">
        <v>1</v>
      </c>
      <c r="V483">
        <v>1</v>
      </c>
      <c r="W483">
        <v>1</v>
      </c>
    </row>
    <row r="484" spans="13:23" x14ac:dyDescent="0.25">
      <c r="M484">
        <v>15</v>
      </c>
      <c r="N484">
        <v>130</v>
      </c>
      <c r="O484">
        <v>1</v>
      </c>
      <c r="P484">
        <v>51</v>
      </c>
      <c r="Q484">
        <v>1</v>
      </c>
      <c r="R484">
        <v>33</v>
      </c>
      <c r="U484">
        <v>1</v>
      </c>
      <c r="V484">
        <v>1</v>
      </c>
      <c r="W484">
        <v>1</v>
      </c>
    </row>
    <row r="485" spans="13:23" x14ac:dyDescent="0.25">
      <c r="M485">
        <v>17</v>
      </c>
      <c r="N485">
        <v>25</v>
      </c>
      <c r="O485">
        <v>1</v>
      </c>
      <c r="P485">
        <v>51</v>
      </c>
      <c r="Q485">
        <v>1</v>
      </c>
      <c r="R485">
        <v>33</v>
      </c>
      <c r="U485">
        <v>1</v>
      </c>
      <c r="V485">
        <v>1</v>
      </c>
      <c r="W485">
        <v>1</v>
      </c>
    </row>
    <row r="486" spans="13:23" x14ac:dyDescent="0.25">
      <c r="M486">
        <v>19</v>
      </c>
      <c r="N486">
        <v>7</v>
      </c>
      <c r="O486">
        <v>1</v>
      </c>
      <c r="P486">
        <v>51</v>
      </c>
      <c r="Q486">
        <v>1</v>
      </c>
      <c r="R486">
        <v>33</v>
      </c>
      <c r="U486">
        <v>1</v>
      </c>
      <c r="V486">
        <v>1</v>
      </c>
      <c r="W486">
        <v>1</v>
      </c>
    </row>
    <row r="487" spans="13:23" x14ac:dyDescent="0.25">
      <c r="M487">
        <v>7</v>
      </c>
      <c r="N487">
        <v>129</v>
      </c>
      <c r="O487">
        <v>1</v>
      </c>
      <c r="P487">
        <v>51</v>
      </c>
      <c r="Q487">
        <v>1</v>
      </c>
      <c r="R487">
        <v>33</v>
      </c>
      <c r="U487">
        <v>1</v>
      </c>
      <c r="V487">
        <v>1</v>
      </c>
      <c r="W487">
        <v>1</v>
      </c>
    </row>
    <row r="488" spans="13:23" x14ac:dyDescent="0.25">
      <c r="M488">
        <v>8</v>
      </c>
      <c r="N488">
        <v>88</v>
      </c>
      <c r="O488">
        <v>1</v>
      </c>
      <c r="P488">
        <v>52</v>
      </c>
      <c r="Q488">
        <v>1</v>
      </c>
      <c r="R488">
        <v>33</v>
      </c>
      <c r="U488">
        <v>1</v>
      </c>
      <c r="V488">
        <v>1</v>
      </c>
      <c r="W488">
        <v>1</v>
      </c>
    </row>
    <row r="489" spans="13:23" x14ac:dyDescent="0.25">
      <c r="M489">
        <v>8</v>
      </c>
      <c r="N489">
        <v>88</v>
      </c>
      <c r="O489">
        <v>1</v>
      </c>
      <c r="P489">
        <v>52</v>
      </c>
      <c r="Q489">
        <v>1</v>
      </c>
      <c r="R489">
        <v>33</v>
      </c>
      <c r="U489">
        <v>1</v>
      </c>
      <c r="V489">
        <v>1</v>
      </c>
      <c r="W489">
        <v>1</v>
      </c>
    </row>
    <row r="490" spans="13:23" x14ac:dyDescent="0.25">
      <c r="M490">
        <v>10</v>
      </c>
      <c r="N490">
        <v>35</v>
      </c>
      <c r="O490">
        <v>1</v>
      </c>
      <c r="P490">
        <v>52</v>
      </c>
      <c r="Q490">
        <v>1</v>
      </c>
      <c r="R490">
        <v>33</v>
      </c>
      <c r="U490">
        <v>1</v>
      </c>
      <c r="V490">
        <v>1</v>
      </c>
      <c r="W490">
        <v>1</v>
      </c>
    </row>
    <row r="491" spans="13:23" x14ac:dyDescent="0.25">
      <c r="M491">
        <v>12</v>
      </c>
      <c r="N491">
        <v>14</v>
      </c>
      <c r="O491">
        <v>1</v>
      </c>
      <c r="P491">
        <v>52</v>
      </c>
      <c r="R491">
        <v>33</v>
      </c>
      <c r="U491">
        <v>1</v>
      </c>
      <c r="V491">
        <v>1</v>
      </c>
      <c r="W491">
        <v>1</v>
      </c>
    </row>
    <row r="492" spans="13:23" x14ac:dyDescent="0.25">
      <c r="M492">
        <v>14</v>
      </c>
      <c r="N492">
        <v>1</v>
      </c>
      <c r="O492">
        <v>1</v>
      </c>
      <c r="P492">
        <v>52</v>
      </c>
      <c r="R492">
        <v>33</v>
      </c>
      <c r="U492">
        <v>1</v>
      </c>
      <c r="V492">
        <v>1</v>
      </c>
      <c r="W492">
        <v>1</v>
      </c>
    </row>
    <row r="493" spans="13:23" x14ac:dyDescent="0.25">
      <c r="M493">
        <v>15</v>
      </c>
      <c r="N493">
        <v>130</v>
      </c>
      <c r="O493">
        <v>1</v>
      </c>
      <c r="P493">
        <v>52</v>
      </c>
      <c r="Q493">
        <v>1</v>
      </c>
      <c r="R493">
        <v>33</v>
      </c>
      <c r="U493">
        <v>1</v>
      </c>
      <c r="V493">
        <v>1</v>
      </c>
      <c r="W493">
        <v>1</v>
      </c>
    </row>
    <row r="494" spans="13:23" x14ac:dyDescent="0.25">
      <c r="M494">
        <v>17</v>
      </c>
      <c r="N494">
        <v>25</v>
      </c>
      <c r="O494">
        <v>1</v>
      </c>
      <c r="P494">
        <v>52</v>
      </c>
      <c r="Q494">
        <v>1</v>
      </c>
      <c r="R494">
        <v>33</v>
      </c>
      <c r="U494">
        <v>1</v>
      </c>
      <c r="V494">
        <v>1</v>
      </c>
      <c r="W494">
        <v>1</v>
      </c>
    </row>
    <row r="495" spans="13:23" x14ac:dyDescent="0.25">
      <c r="M495">
        <v>19</v>
      </c>
      <c r="N495">
        <v>7</v>
      </c>
      <c r="O495">
        <v>1</v>
      </c>
      <c r="P495">
        <v>52</v>
      </c>
      <c r="Q495">
        <v>1</v>
      </c>
      <c r="R495">
        <v>33</v>
      </c>
      <c r="U495">
        <v>1</v>
      </c>
      <c r="V495">
        <v>1</v>
      </c>
      <c r="W495">
        <v>1</v>
      </c>
    </row>
    <row r="496" spans="13:23" x14ac:dyDescent="0.25">
      <c r="M496">
        <v>7</v>
      </c>
      <c r="N496">
        <v>129</v>
      </c>
      <c r="O496">
        <v>1</v>
      </c>
      <c r="P496">
        <v>52</v>
      </c>
      <c r="Q496">
        <v>1</v>
      </c>
      <c r="R496">
        <v>33</v>
      </c>
      <c r="U496">
        <v>1</v>
      </c>
      <c r="V496">
        <v>1</v>
      </c>
      <c r="W496">
        <v>1</v>
      </c>
    </row>
    <row r="497" spans="13:23" x14ac:dyDescent="0.25">
      <c r="M497">
        <v>8</v>
      </c>
      <c r="N497">
        <v>88</v>
      </c>
      <c r="O497">
        <v>1</v>
      </c>
      <c r="P497">
        <v>53</v>
      </c>
      <c r="Q497">
        <v>1</v>
      </c>
      <c r="R497">
        <v>33</v>
      </c>
      <c r="U497">
        <v>1</v>
      </c>
      <c r="V497">
        <v>1</v>
      </c>
      <c r="W497">
        <v>1</v>
      </c>
    </row>
    <row r="498" spans="13:23" x14ac:dyDescent="0.25">
      <c r="M498">
        <v>8</v>
      </c>
      <c r="N498">
        <v>88</v>
      </c>
      <c r="O498">
        <v>1</v>
      </c>
      <c r="P498">
        <v>53</v>
      </c>
      <c r="Q498">
        <v>1</v>
      </c>
      <c r="R498">
        <v>33</v>
      </c>
      <c r="U498">
        <v>1</v>
      </c>
      <c r="V498">
        <v>1</v>
      </c>
      <c r="W498">
        <v>1</v>
      </c>
    </row>
    <row r="499" spans="13:23" x14ac:dyDescent="0.25">
      <c r="M499">
        <v>10</v>
      </c>
      <c r="N499">
        <v>35</v>
      </c>
      <c r="O499">
        <v>1</v>
      </c>
      <c r="P499">
        <v>53</v>
      </c>
      <c r="Q499">
        <v>1</v>
      </c>
      <c r="R499">
        <v>33</v>
      </c>
      <c r="U499">
        <v>1</v>
      </c>
      <c r="V499">
        <v>1</v>
      </c>
      <c r="W499">
        <v>1</v>
      </c>
    </row>
    <row r="500" spans="13:23" x14ac:dyDescent="0.25">
      <c r="M500">
        <v>12</v>
      </c>
      <c r="N500">
        <v>14</v>
      </c>
      <c r="O500">
        <v>1</v>
      </c>
      <c r="P500">
        <v>53</v>
      </c>
      <c r="R500">
        <v>33</v>
      </c>
      <c r="U500">
        <v>1</v>
      </c>
      <c r="V500">
        <v>1</v>
      </c>
      <c r="W500">
        <v>1</v>
      </c>
    </row>
    <row r="501" spans="13:23" x14ac:dyDescent="0.25">
      <c r="M501">
        <v>14</v>
      </c>
      <c r="N501">
        <v>1</v>
      </c>
      <c r="O501">
        <v>1</v>
      </c>
      <c r="P501">
        <v>53</v>
      </c>
      <c r="R501">
        <v>33</v>
      </c>
      <c r="U501">
        <v>1</v>
      </c>
      <c r="V501">
        <v>1</v>
      </c>
      <c r="W501">
        <v>1</v>
      </c>
    </row>
    <row r="502" spans="13:23" x14ac:dyDescent="0.25">
      <c r="M502">
        <v>15</v>
      </c>
      <c r="N502">
        <v>130</v>
      </c>
      <c r="O502">
        <v>1</v>
      </c>
      <c r="P502">
        <v>53</v>
      </c>
      <c r="Q502">
        <v>1</v>
      </c>
      <c r="R502">
        <v>33</v>
      </c>
      <c r="U502">
        <v>1</v>
      </c>
      <c r="V502">
        <v>1</v>
      </c>
      <c r="W502">
        <v>1</v>
      </c>
    </row>
    <row r="503" spans="13:23" x14ac:dyDescent="0.25">
      <c r="M503">
        <v>17</v>
      </c>
      <c r="N503">
        <v>25</v>
      </c>
      <c r="O503">
        <v>1</v>
      </c>
      <c r="P503">
        <v>53</v>
      </c>
      <c r="Q503">
        <v>1</v>
      </c>
      <c r="R503">
        <v>33</v>
      </c>
      <c r="U503">
        <v>1</v>
      </c>
      <c r="V503">
        <v>1</v>
      </c>
      <c r="W503">
        <v>1</v>
      </c>
    </row>
    <row r="504" spans="13:23" x14ac:dyDescent="0.25">
      <c r="M504">
        <v>19</v>
      </c>
      <c r="N504">
        <v>7</v>
      </c>
      <c r="O504">
        <v>1</v>
      </c>
      <c r="P504">
        <v>53</v>
      </c>
      <c r="Q504">
        <v>1</v>
      </c>
      <c r="R504">
        <v>33</v>
      </c>
      <c r="U504">
        <v>1</v>
      </c>
      <c r="V504">
        <v>1</v>
      </c>
      <c r="W504">
        <v>1</v>
      </c>
    </row>
    <row r="505" spans="13:23" x14ac:dyDescent="0.25">
      <c r="M505">
        <v>7</v>
      </c>
      <c r="N505">
        <v>129</v>
      </c>
      <c r="O505">
        <v>1</v>
      </c>
      <c r="P505">
        <v>53</v>
      </c>
      <c r="Q505">
        <v>1</v>
      </c>
      <c r="R505">
        <v>33</v>
      </c>
      <c r="U505">
        <v>1</v>
      </c>
      <c r="V505">
        <v>1</v>
      </c>
      <c r="W505">
        <v>1</v>
      </c>
    </row>
    <row r="506" spans="13:23" x14ac:dyDescent="0.25">
      <c r="M506">
        <v>8</v>
      </c>
      <c r="N506">
        <v>88</v>
      </c>
      <c r="O506">
        <v>1</v>
      </c>
      <c r="P506">
        <v>54</v>
      </c>
      <c r="Q506">
        <v>1</v>
      </c>
      <c r="R506">
        <v>33</v>
      </c>
      <c r="U506">
        <v>1</v>
      </c>
      <c r="V506">
        <v>1</v>
      </c>
      <c r="W506">
        <v>1</v>
      </c>
    </row>
    <row r="507" spans="13:23" x14ac:dyDescent="0.25">
      <c r="M507">
        <v>8</v>
      </c>
      <c r="N507">
        <v>88</v>
      </c>
      <c r="O507">
        <v>1</v>
      </c>
      <c r="P507">
        <v>54</v>
      </c>
      <c r="Q507">
        <v>1</v>
      </c>
      <c r="R507">
        <v>33</v>
      </c>
      <c r="U507">
        <v>1</v>
      </c>
      <c r="V507">
        <v>1</v>
      </c>
      <c r="W507">
        <v>1</v>
      </c>
    </row>
    <row r="508" spans="13:23" x14ac:dyDescent="0.25">
      <c r="M508">
        <v>10</v>
      </c>
      <c r="N508">
        <v>35</v>
      </c>
      <c r="O508">
        <v>1</v>
      </c>
      <c r="P508">
        <v>54</v>
      </c>
      <c r="Q508">
        <v>1</v>
      </c>
      <c r="R508">
        <v>33</v>
      </c>
      <c r="U508">
        <v>1</v>
      </c>
      <c r="V508">
        <v>1</v>
      </c>
      <c r="W508">
        <v>1</v>
      </c>
    </row>
    <row r="509" spans="13:23" x14ac:dyDescent="0.25">
      <c r="M509">
        <v>12</v>
      </c>
      <c r="N509">
        <v>14</v>
      </c>
      <c r="O509">
        <v>1</v>
      </c>
      <c r="P509">
        <v>54</v>
      </c>
      <c r="R509">
        <v>33</v>
      </c>
      <c r="U509">
        <v>1</v>
      </c>
      <c r="V509">
        <v>1</v>
      </c>
      <c r="W509">
        <v>1</v>
      </c>
    </row>
    <row r="510" spans="13:23" x14ac:dyDescent="0.25">
      <c r="M510">
        <v>14</v>
      </c>
      <c r="N510">
        <v>1</v>
      </c>
      <c r="O510">
        <v>1</v>
      </c>
      <c r="P510">
        <v>54</v>
      </c>
      <c r="R510">
        <v>33</v>
      </c>
      <c r="U510">
        <v>1</v>
      </c>
      <c r="V510">
        <v>1</v>
      </c>
      <c r="W510">
        <v>1</v>
      </c>
    </row>
    <row r="511" spans="13:23" x14ac:dyDescent="0.25">
      <c r="M511">
        <v>15</v>
      </c>
      <c r="N511">
        <v>130</v>
      </c>
      <c r="O511">
        <v>1</v>
      </c>
      <c r="P511">
        <v>54</v>
      </c>
      <c r="Q511">
        <v>1</v>
      </c>
      <c r="R511">
        <v>33</v>
      </c>
      <c r="U511">
        <v>1</v>
      </c>
      <c r="V511">
        <v>1</v>
      </c>
      <c r="W511">
        <v>1</v>
      </c>
    </row>
    <row r="512" spans="13:23" x14ac:dyDescent="0.25">
      <c r="M512">
        <v>17</v>
      </c>
      <c r="N512">
        <v>25</v>
      </c>
      <c r="O512">
        <v>1</v>
      </c>
      <c r="P512">
        <v>54</v>
      </c>
      <c r="Q512">
        <v>1</v>
      </c>
      <c r="R512">
        <v>33</v>
      </c>
      <c r="U512">
        <v>1</v>
      </c>
      <c r="V512">
        <v>1</v>
      </c>
      <c r="W512">
        <v>1</v>
      </c>
    </row>
    <row r="513" spans="13:23" x14ac:dyDescent="0.25">
      <c r="M513">
        <v>19</v>
      </c>
      <c r="N513">
        <v>7</v>
      </c>
      <c r="O513">
        <v>1</v>
      </c>
      <c r="P513">
        <v>54</v>
      </c>
      <c r="Q513">
        <v>1</v>
      </c>
      <c r="R513">
        <v>33</v>
      </c>
      <c r="U513">
        <v>1</v>
      </c>
      <c r="V513">
        <v>1</v>
      </c>
      <c r="W513">
        <v>1</v>
      </c>
    </row>
    <row r="514" spans="13:23" x14ac:dyDescent="0.25">
      <c r="M514">
        <v>7</v>
      </c>
      <c r="N514">
        <v>129</v>
      </c>
      <c r="O514">
        <v>1</v>
      </c>
      <c r="P514">
        <v>54</v>
      </c>
      <c r="Q514">
        <v>1</v>
      </c>
      <c r="R514">
        <v>33</v>
      </c>
      <c r="U514">
        <v>1</v>
      </c>
      <c r="V514">
        <v>1</v>
      </c>
      <c r="W514">
        <v>1</v>
      </c>
    </row>
    <row r="515" spans="13:23" x14ac:dyDescent="0.25">
      <c r="M515">
        <v>8</v>
      </c>
      <c r="N515">
        <v>88</v>
      </c>
      <c r="O515">
        <v>1</v>
      </c>
      <c r="P515">
        <v>55</v>
      </c>
      <c r="Q515">
        <v>1</v>
      </c>
      <c r="R515">
        <v>33</v>
      </c>
      <c r="U515">
        <v>1</v>
      </c>
      <c r="V515">
        <v>1</v>
      </c>
      <c r="W515">
        <v>1</v>
      </c>
    </row>
    <row r="516" spans="13:23" x14ac:dyDescent="0.25">
      <c r="M516">
        <v>8</v>
      </c>
      <c r="N516">
        <v>88</v>
      </c>
      <c r="O516">
        <v>1</v>
      </c>
      <c r="P516">
        <v>55</v>
      </c>
      <c r="Q516">
        <v>1</v>
      </c>
      <c r="R516">
        <v>33</v>
      </c>
      <c r="U516">
        <v>1</v>
      </c>
      <c r="V516">
        <v>1</v>
      </c>
      <c r="W516">
        <v>1</v>
      </c>
    </row>
    <row r="517" spans="13:23" x14ac:dyDescent="0.25">
      <c r="M517">
        <v>10</v>
      </c>
      <c r="N517">
        <v>35</v>
      </c>
      <c r="O517">
        <v>1</v>
      </c>
      <c r="P517">
        <v>55</v>
      </c>
      <c r="Q517">
        <v>1</v>
      </c>
      <c r="R517">
        <v>33</v>
      </c>
      <c r="U517">
        <v>1</v>
      </c>
      <c r="V517">
        <v>1</v>
      </c>
      <c r="W517">
        <v>1</v>
      </c>
    </row>
    <row r="518" spans="13:23" x14ac:dyDescent="0.25">
      <c r="M518">
        <v>12</v>
      </c>
      <c r="N518">
        <v>14</v>
      </c>
      <c r="O518">
        <v>1</v>
      </c>
      <c r="P518">
        <v>55</v>
      </c>
      <c r="R518">
        <v>33</v>
      </c>
      <c r="U518">
        <v>1</v>
      </c>
      <c r="V518">
        <v>1</v>
      </c>
      <c r="W518">
        <v>1</v>
      </c>
    </row>
    <row r="519" spans="13:23" x14ac:dyDescent="0.25">
      <c r="M519">
        <v>14</v>
      </c>
      <c r="N519">
        <v>1</v>
      </c>
      <c r="O519">
        <v>1</v>
      </c>
      <c r="P519">
        <v>55</v>
      </c>
      <c r="R519">
        <v>33</v>
      </c>
      <c r="U519">
        <v>1</v>
      </c>
      <c r="V519">
        <v>1</v>
      </c>
      <c r="W519">
        <v>1</v>
      </c>
    </row>
    <row r="520" spans="13:23" x14ac:dyDescent="0.25">
      <c r="M520">
        <v>15</v>
      </c>
      <c r="N520">
        <v>130</v>
      </c>
      <c r="O520">
        <v>1</v>
      </c>
      <c r="P520">
        <v>55</v>
      </c>
      <c r="Q520">
        <v>1</v>
      </c>
      <c r="R520">
        <v>33</v>
      </c>
      <c r="U520">
        <v>1</v>
      </c>
      <c r="V520">
        <v>1</v>
      </c>
      <c r="W520">
        <v>1</v>
      </c>
    </row>
    <row r="521" spans="13:23" x14ac:dyDescent="0.25">
      <c r="M521">
        <v>17</v>
      </c>
      <c r="N521">
        <v>25</v>
      </c>
      <c r="O521">
        <v>1</v>
      </c>
      <c r="P521">
        <v>55</v>
      </c>
      <c r="Q521">
        <v>1</v>
      </c>
      <c r="R521">
        <v>33</v>
      </c>
      <c r="U521">
        <v>1</v>
      </c>
      <c r="V521">
        <v>1</v>
      </c>
      <c r="W521">
        <v>1</v>
      </c>
    </row>
    <row r="522" spans="13:23" x14ac:dyDescent="0.25">
      <c r="M522">
        <v>19</v>
      </c>
      <c r="N522">
        <v>7</v>
      </c>
      <c r="O522">
        <v>1</v>
      </c>
      <c r="P522">
        <v>55</v>
      </c>
      <c r="Q522">
        <v>1</v>
      </c>
      <c r="R522">
        <v>33</v>
      </c>
      <c r="U522">
        <v>1</v>
      </c>
      <c r="V522">
        <v>1</v>
      </c>
      <c r="W522">
        <v>1</v>
      </c>
    </row>
    <row r="523" spans="13:23" x14ac:dyDescent="0.25">
      <c r="M523">
        <v>7</v>
      </c>
      <c r="N523">
        <v>129</v>
      </c>
      <c r="O523">
        <v>1</v>
      </c>
      <c r="P523">
        <v>55</v>
      </c>
      <c r="Q523">
        <v>1</v>
      </c>
      <c r="R523">
        <v>33</v>
      </c>
      <c r="U523">
        <v>1</v>
      </c>
      <c r="V523">
        <v>1</v>
      </c>
      <c r="W523">
        <v>1</v>
      </c>
    </row>
    <row r="524" spans="13:23" x14ac:dyDescent="0.25">
      <c r="M524">
        <v>8</v>
      </c>
      <c r="N524">
        <v>88</v>
      </c>
      <c r="O524">
        <v>1</v>
      </c>
      <c r="P524">
        <v>56</v>
      </c>
      <c r="Q524">
        <v>1</v>
      </c>
      <c r="R524">
        <v>33</v>
      </c>
      <c r="U524">
        <v>1</v>
      </c>
      <c r="V524">
        <v>1</v>
      </c>
      <c r="W524">
        <v>1</v>
      </c>
    </row>
    <row r="525" spans="13:23" x14ac:dyDescent="0.25">
      <c r="M525">
        <v>8</v>
      </c>
      <c r="N525">
        <v>88</v>
      </c>
      <c r="O525">
        <v>1</v>
      </c>
      <c r="P525">
        <v>56</v>
      </c>
      <c r="Q525">
        <v>1</v>
      </c>
      <c r="R525">
        <v>33</v>
      </c>
      <c r="U525">
        <v>1</v>
      </c>
      <c r="V525">
        <v>1</v>
      </c>
      <c r="W525">
        <v>1</v>
      </c>
    </row>
    <row r="526" spans="13:23" x14ac:dyDescent="0.25">
      <c r="M526">
        <v>10</v>
      </c>
      <c r="N526">
        <v>35</v>
      </c>
      <c r="O526">
        <v>1</v>
      </c>
      <c r="P526">
        <v>56</v>
      </c>
      <c r="Q526">
        <v>1</v>
      </c>
      <c r="R526">
        <v>33</v>
      </c>
      <c r="U526">
        <v>1</v>
      </c>
      <c r="V526">
        <v>1</v>
      </c>
      <c r="W526">
        <v>1</v>
      </c>
    </row>
    <row r="527" spans="13:23" x14ac:dyDescent="0.25">
      <c r="M527">
        <v>12</v>
      </c>
      <c r="N527">
        <v>14</v>
      </c>
      <c r="O527">
        <v>1</v>
      </c>
      <c r="P527">
        <v>56</v>
      </c>
      <c r="R527">
        <v>33</v>
      </c>
      <c r="U527">
        <v>1</v>
      </c>
      <c r="V527">
        <v>1</v>
      </c>
      <c r="W527">
        <v>1</v>
      </c>
    </row>
    <row r="528" spans="13:23" x14ac:dyDescent="0.25">
      <c r="M528">
        <v>14</v>
      </c>
      <c r="N528">
        <v>1</v>
      </c>
      <c r="O528">
        <v>1</v>
      </c>
      <c r="P528">
        <v>56</v>
      </c>
      <c r="R528">
        <v>33</v>
      </c>
      <c r="U528">
        <v>1</v>
      </c>
      <c r="V528">
        <v>1</v>
      </c>
      <c r="W528">
        <v>1</v>
      </c>
    </row>
    <row r="529" spans="13:23" x14ac:dyDescent="0.25">
      <c r="M529">
        <v>15</v>
      </c>
      <c r="N529">
        <v>130</v>
      </c>
      <c r="O529">
        <v>1</v>
      </c>
      <c r="P529">
        <v>56</v>
      </c>
      <c r="Q529">
        <v>1</v>
      </c>
      <c r="R529">
        <v>33</v>
      </c>
      <c r="U529">
        <v>1</v>
      </c>
      <c r="V529">
        <v>1</v>
      </c>
      <c r="W529">
        <v>1</v>
      </c>
    </row>
    <row r="530" spans="13:23" x14ac:dyDescent="0.25">
      <c r="M530">
        <v>17</v>
      </c>
      <c r="N530">
        <v>25</v>
      </c>
      <c r="O530">
        <v>1</v>
      </c>
      <c r="P530">
        <v>56</v>
      </c>
      <c r="Q530">
        <v>1</v>
      </c>
      <c r="R530">
        <v>33</v>
      </c>
      <c r="U530">
        <v>1</v>
      </c>
      <c r="V530">
        <v>1</v>
      </c>
      <c r="W530">
        <v>1</v>
      </c>
    </row>
    <row r="531" spans="13:23" x14ac:dyDescent="0.25">
      <c r="M531">
        <v>19</v>
      </c>
      <c r="N531">
        <v>7</v>
      </c>
      <c r="O531">
        <v>1</v>
      </c>
      <c r="P531">
        <v>56</v>
      </c>
      <c r="Q531">
        <v>1</v>
      </c>
      <c r="R531">
        <v>33</v>
      </c>
      <c r="U531">
        <v>1</v>
      </c>
      <c r="V531">
        <v>1</v>
      </c>
      <c r="W531">
        <v>1</v>
      </c>
    </row>
    <row r="532" spans="13:23" x14ac:dyDescent="0.25">
      <c r="M532">
        <v>7</v>
      </c>
      <c r="N532">
        <v>129</v>
      </c>
      <c r="O532">
        <v>1</v>
      </c>
      <c r="P532">
        <v>56</v>
      </c>
      <c r="Q532">
        <v>1</v>
      </c>
      <c r="R532">
        <v>33</v>
      </c>
      <c r="U532">
        <v>1</v>
      </c>
      <c r="V532">
        <v>1</v>
      </c>
      <c r="W532">
        <v>1</v>
      </c>
    </row>
    <row r="533" spans="13:23" x14ac:dyDescent="0.25">
      <c r="M533">
        <v>8</v>
      </c>
      <c r="N533">
        <v>88</v>
      </c>
      <c r="O533">
        <v>1</v>
      </c>
      <c r="P533">
        <v>57</v>
      </c>
      <c r="Q533">
        <v>1</v>
      </c>
      <c r="R533">
        <v>33</v>
      </c>
      <c r="U533">
        <v>1</v>
      </c>
      <c r="V533">
        <v>1</v>
      </c>
      <c r="W533">
        <v>1</v>
      </c>
    </row>
    <row r="534" spans="13:23" x14ac:dyDescent="0.25">
      <c r="M534">
        <v>8</v>
      </c>
      <c r="N534">
        <v>88</v>
      </c>
      <c r="O534">
        <v>1</v>
      </c>
      <c r="P534">
        <v>57</v>
      </c>
      <c r="Q534">
        <v>1</v>
      </c>
      <c r="R534">
        <v>33</v>
      </c>
      <c r="U534">
        <v>1</v>
      </c>
      <c r="V534">
        <v>1</v>
      </c>
      <c r="W534">
        <v>1</v>
      </c>
    </row>
    <row r="535" spans="13:23" x14ac:dyDescent="0.25">
      <c r="M535">
        <v>10</v>
      </c>
      <c r="N535">
        <v>35</v>
      </c>
      <c r="O535">
        <v>1</v>
      </c>
      <c r="P535">
        <v>57</v>
      </c>
      <c r="Q535">
        <v>1</v>
      </c>
      <c r="R535">
        <v>33</v>
      </c>
      <c r="U535">
        <v>1</v>
      </c>
      <c r="V535">
        <v>1</v>
      </c>
      <c r="W535">
        <v>1</v>
      </c>
    </row>
    <row r="536" spans="13:23" x14ac:dyDescent="0.25">
      <c r="M536">
        <v>12</v>
      </c>
      <c r="N536">
        <v>14</v>
      </c>
      <c r="O536">
        <v>1</v>
      </c>
      <c r="P536">
        <v>57</v>
      </c>
      <c r="R536">
        <v>33</v>
      </c>
      <c r="U536">
        <v>1</v>
      </c>
      <c r="V536">
        <v>1</v>
      </c>
      <c r="W536">
        <v>1</v>
      </c>
    </row>
    <row r="537" spans="13:23" x14ac:dyDescent="0.25">
      <c r="M537">
        <v>14</v>
      </c>
      <c r="N537">
        <v>1</v>
      </c>
      <c r="O537">
        <v>1</v>
      </c>
      <c r="P537">
        <v>57</v>
      </c>
      <c r="R537">
        <v>33</v>
      </c>
      <c r="U537">
        <v>1</v>
      </c>
      <c r="V537">
        <v>1</v>
      </c>
      <c r="W537">
        <v>1</v>
      </c>
    </row>
    <row r="538" spans="13:23" x14ac:dyDescent="0.25">
      <c r="M538">
        <v>15</v>
      </c>
      <c r="N538">
        <v>130</v>
      </c>
      <c r="O538">
        <v>1</v>
      </c>
      <c r="P538">
        <v>57</v>
      </c>
      <c r="Q538">
        <v>1</v>
      </c>
      <c r="R538">
        <v>33</v>
      </c>
      <c r="U538">
        <v>1</v>
      </c>
      <c r="V538">
        <v>1</v>
      </c>
      <c r="W538">
        <v>1</v>
      </c>
    </row>
    <row r="539" spans="13:23" x14ac:dyDescent="0.25">
      <c r="M539">
        <v>17</v>
      </c>
      <c r="N539">
        <v>25</v>
      </c>
      <c r="O539">
        <v>1</v>
      </c>
      <c r="P539">
        <v>57</v>
      </c>
      <c r="Q539">
        <v>1</v>
      </c>
      <c r="R539">
        <v>33</v>
      </c>
      <c r="U539">
        <v>1</v>
      </c>
      <c r="V539">
        <v>1</v>
      </c>
      <c r="W539">
        <v>1</v>
      </c>
    </row>
    <row r="540" spans="13:23" x14ac:dyDescent="0.25">
      <c r="M540">
        <v>19</v>
      </c>
      <c r="N540">
        <v>7</v>
      </c>
      <c r="O540">
        <v>1</v>
      </c>
      <c r="P540">
        <v>57</v>
      </c>
      <c r="Q540">
        <v>1</v>
      </c>
      <c r="R540">
        <v>33</v>
      </c>
      <c r="U540">
        <v>1</v>
      </c>
      <c r="V540">
        <v>1</v>
      </c>
      <c r="W540">
        <v>1</v>
      </c>
    </row>
    <row r="541" spans="13:23" x14ac:dyDescent="0.25">
      <c r="M541">
        <v>7</v>
      </c>
      <c r="N541">
        <v>129</v>
      </c>
      <c r="O541">
        <v>1</v>
      </c>
      <c r="P541">
        <v>57</v>
      </c>
      <c r="Q541">
        <v>1</v>
      </c>
      <c r="R541">
        <v>33</v>
      </c>
      <c r="U541">
        <v>1</v>
      </c>
      <c r="V541">
        <v>1</v>
      </c>
      <c r="W541">
        <v>1</v>
      </c>
    </row>
    <row r="542" spans="13:23" x14ac:dyDescent="0.25">
      <c r="M542">
        <v>8</v>
      </c>
      <c r="N542">
        <v>88</v>
      </c>
      <c r="O542">
        <v>1</v>
      </c>
      <c r="P542">
        <v>58</v>
      </c>
      <c r="Q542">
        <v>1</v>
      </c>
      <c r="R542">
        <v>33</v>
      </c>
      <c r="U542">
        <v>1</v>
      </c>
      <c r="V542">
        <v>1</v>
      </c>
      <c r="W542">
        <v>1</v>
      </c>
    </row>
    <row r="543" spans="13:23" x14ac:dyDescent="0.25">
      <c r="M543">
        <v>8</v>
      </c>
      <c r="N543">
        <v>88</v>
      </c>
      <c r="O543">
        <v>1</v>
      </c>
      <c r="P543">
        <v>58</v>
      </c>
      <c r="Q543">
        <v>1</v>
      </c>
      <c r="R543">
        <v>33</v>
      </c>
      <c r="U543">
        <v>1</v>
      </c>
      <c r="V543">
        <v>1</v>
      </c>
      <c r="W543">
        <v>1</v>
      </c>
    </row>
    <row r="544" spans="13:23" x14ac:dyDescent="0.25">
      <c r="M544">
        <v>10</v>
      </c>
      <c r="N544">
        <v>35</v>
      </c>
      <c r="O544">
        <v>1</v>
      </c>
      <c r="P544">
        <v>58</v>
      </c>
      <c r="Q544">
        <v>1</v>
      </c>
      <c r="R544">
        <v>33</v>
      </c>
      <c r="U544">
        <v>1</v>
      </c>
      <c r="V544">
        <v>1</v>
      </c>
      <c r="W544">
        <v>1</v>
      </c>
    </row>
    <row r="545" spans="13:23" x14ac:dyDescent="0.25">
      <c r="M545">
        <v>12</v>
      </c>
      <c r="N545">
        <v>14</v>
      </c>
      <c r="O545">
        <v>1</v>
      </c>
      <c r="P545">
        <v>58</v>
      </c>
      <c r="R545">
        <v>33</v>
      </c>
      <c r="U545">
        <v>1</v>
      </c>
      <c r="V545">
        <v>1</v>
      </c>
      <c r="W545">
        <v>1</v>
      </c>
    </row>
    <row r="546" spans="13:23" x14ac:dyDescent="0.25">
      <c r="M546">
        <v>14</v>
      </c>
      <c r="N546">
        <v>1</v>
      </c>
      <c r="O546">
        <v>1</v>
      </c>
      <c r="P546">
        <v>58</v>
      </c>
      <c r="R546">
        <v>33</v>
      </c>
      <c r="U546">
        <v>1</v>
      </c>
      <c r="V546">
        <v>1</v>
      </c>
      <c r="W546">
        <v>1</v>
      </c>
    </row>
    <row r="547" spans="13:23" x14ac:dyDescent="0.25">
      <c r="M547">
        <v>15</v>
      </c>
      <c r="N547">
        <v>130</v>
      </c>
      <c r="O547">
        <v>1</v>
      </c>
      <c r="P547">
        <v>58</v>
      </c>
      <c r="Q547">
        <v>1</v>
      </c>
      <c r="R547">
        <v>33</v>
      </c>
      <c r="U547">
        <v>1</v>
      </c>
      <c r="V547">
        <v>1</v>
      </c>
      <c r="W547">
        <v>1</v>
      </c>
    </row>
    <row r="548" spans="13:23" x14ac:dyDescent="0.25">
      <c r="M548">
        <v>17</v>
      </c>
      <c r="N548">
        <v>25</v>
      </c>
      <c r="O548">
        <v>1</v>
      </c>
      <c r="P548">
        <v>58</v>
      </c>
      <c r="Q548">
        <v>1</v>
      </c>
      <c r="R548">
        <v>33</v>
      </c>
      <c r="U548">
        <v>1</v>
      </c>
      <c r="V548">
        <v>1</v>
      </c>
      <c r="W548">
        <v>1</v>
      </c>
    </row>
    <row r="549" spans="13:23" x14ac:dyDescent="0.25">
      <c r="M549">
        <v>19</v>
      </c>
      <c r="N549">
        <v>7</v>
      </c>
      <c r="O549">
        <v>1</v>
      </c>
      <c r="P549">
        <v>58</v>
      </c>
      <c r="Q549">
        <v>1</v>
      </c>
      <c r="R549">
        <v>33</v>
      </c>
      <c r="U549">
        <v>1</v>
      </c>
      <c r="V549">
        <v>1</v>
      </c>
      <c r="W549">
        <v>1</v>
      </c>
    </row>
    <row r="550" spans="13:23" x14ac:dyDescent="0.25">
      <c r="M550">
        <v>7</v>
      </c>
      <c r="N550">
        <v>129</v>
      </c>
      <c r="O550">
        <v>1</v>
      </c>
      <c r="P550">
        <v>58</v>
      </c>
      <c r="Q550">
        <v>1</v>
      </c>
      <c r="R550">
        <v>33</v>
      </c>
      <c r="U550">
        <v>1</v>
      </c>
      <c r="V550">
        <v>1</v>
      </c>
      <c r="W550">
        <v>1</v>
      </c>
    </row>
    <row r="551" spans="13:23" x14ac:dyDescent="0.25">
      <c r="M551">
        <v>8</v>
      </c>
      <c r="N551">
        <v>88</v>
      </c>
      <c r="O551">
        <v>1</v>
      </c>
      <c r="P551">
        <v>59</v>
      </c>
      <c r="Q551">
        <v>1</v>
      </c>
      <c r="R551">
        <v>33</v>
      </c>
      <c r="U551">
        <v>1</v>
      </c>
      <c r="V551">
        <v>1</v>
      </c>
      <c r="W551">
        <v>1</v>
      </c>
    </row>
    <row r="552" spans="13:23" x14ac:dyDescent="0.25">
      <c r="M552">
        <v>8</v>
      </c>
      <c r="N552">
        <v>88</v>
      </c>
      <c r="O552">
        <v>1</v>
      </c>
      <c r="P552">
        <v>59</v>
      </c>
      <c r="Q552">
        <v>1</v>
      </c>
      <c r="R552">
        <v>33</v>
      </c>
      <c r="U552">
        <v>1</v>
      </c>
      <c r="V552">
        <v>1</v>
      </c>
      <c r="W552">
        <v>1</v>
      </c>
    </row>
    <row r="553" spans="13:23" x14ac:dyDescent="0.25">
      <c r="M553">
        <v>10</v>
      </c>
      <c r="N553">
        <v>35</v>
      </c>
      <c r="O553">
        <v>1</v>
      </c>
      <c r="P553">
        <v>59</v>
      </c>
      <c r="Q553">
        <v>1</v>
      </c>
      <c r="R553">
        <v>33</v>
      </c>
      <c r="U553">
        <v>1</v>
      </c>
      <c r="V553">
        <v>1</v>
      </c>
      <c r="W553">
        <v>1</v>
      </c>
    </row>
    <row r="554" spans="13:23" x14ac:dyDescent="0.25">
      <c r="M554">
        <v>12</v>
      </c>
      <c r="N554">
        <v>14</v>
      </c>
      <c r="O554">
        <v>1</v>
      </c>
      <c r="P554">
        <v>59</v>
      </c>
      <c r="R554">
        <v>33</v>
      </c>
      <c r="U554">
        <v>1</v>
      </c>
      <c r="V554">
        <v>1</v>
      </c>
      <c r="W554">
        <v>1</v>
      </c>
    </row>
    <row r="555" spans="13:23" x14ac:dyDescent="0.25">
      <c r="M555">
        <v>14</v>
      </c>
      <c r="N555">
        <v>1</v>
      </c>
      <c r="O555">
        <v>1</v>
      </c>
      <c r="P555">
        <v>59</v>
      </c>
      <c r="R555">
        <v>33</v>
      </c>
      <c r="U555">
        <v>1</v>
      </c>
      <c r="V555">
        <v>1</v>
      </c>
      <c r="W555">
        <v>1</v>
      </c>
    </row>
    <row r="556" spans="13:23" x14ac:dyDescent="0.25">
      <c r="M556">
        <v>15</v>
      </c>
      <c r="N556">
        <v>130</v>
      </c>
      <c r="O556">
        <v>1</v>
      </c>
      <c r="P556">
        <v>59</v>
      </c>
      <c r="Q556">
        <v>1</v>
      </c>
      <c r="R556">
        <v>33</v>
      </c>
      <c r="U556">
        <v>1</v>
      </c>
      <c r="V556">
        <v>1</v>
      </c>
      <c r="W556">
        <v>1</v>
      </c>
    </row>
    <row r="557" spans="13:23" x14ac:dyDescent="0.25">
      <c r="M557">
        <v>17</v>
      </c>
      <c r="N557">
        <v>25</v>
      </c>
      <c r="O557">
        <v>1</v>
      </c>
      <c r="P557">
        <v>59</v>
      </c>
      <c r="Q557">
        <v>1</v>
      </c>
      <c r="R557">
        <v>33</v>
      </c>
      <c r="U557">
        <v>1</v>
      </c>
      <c r="V557">
        <v>1</v>
      </c>
      <c r="W557">
        <v>1</v>
      </c>
    </row>
    <row r="558" spans="13:23" x14ac:dyDescent="0.25">
      <c r="M558">
        <v>19</v>
      </c>
      <c r="N558">
        <v>7</v>
      </c>
      <c r="O558">
        <v>1</v>
      </c>
      <c r="P558">
        <v>59</v>
      </c>
      <c r="Q558">
        <v>1</v>
      </c>
      <c r="R558">
        <v>33</v>
      </c>
      <c r="U558">
        <v>1</v>
      </c>
      <c r="V558">
        <v>1</v>
      </c>
      <c r="W558">
        <v>1</v>
      </c>
    </row>
    <row r="559" spans="13:23" x14ac:dyDescent="0.25">
      <c r="M559">
        <v>7</v>
      </c>
      <c r="N559">
        <v>129</v>
      </c>
      <c r="O559">
        <v>1</v>
      </c>
      <c r="P559">
        <v>59</v>
      </c>
      <c r="Q559">
        <v>1</v>
      </c>
      <c r="R559">
        <v>33</v>
      </c>
      <c r="U559">
        <v>1</v>
      </c>
      <c r="V559">
        <v>1</v>
      </c>
      <c r="W559">
        <v>1</v>
      </c>
    </row>
    <row r="560" spans="13:23" x14ac:dyDescent="0.25">
      <c r="M560">
        <v>8</v>
      </c>
      <c r="N560">
        <v>88</v>
      </c>
      <c r="O560">
        <v>1</v>
      </c>
      <c r="P560">
        <v>60</v>
      </c>
      <c r="Q560">
        <v>1</v>
      </c>
      <c r="R560">
        <v>33</v>
      </c>
      <c r="U560">
        <v>1</v>
      </c>
      <c r="V560">
        <v>1</v>
      </c>
      <c r="W560">
        <v>1</v>
      </c>
    </row>
    <row r="561" spans="13:23" x14ac:dyDescent="0.25">
      <c r="M561">
        <v>8</v>
      </c>
      <c r="N561">
        <v>88</v>
      </c>
      <c r="O561">
        <v>1</v>
      </c>
      <c r="P561">
        <v>60</v>
      </c>
      <c r="Q561">
        <v>1</v>
      </c>
      <c r="R561">
        <v>33</v>
      </c>
      <c r="U561">
        <v>1</v>
      </c>
      <c r="V561">
        <v>1</v>
      </c>
      <c r="W561">
        <v>1</v>
      </c>
    </row>
    <row r="562" spans="13:23" x14ac:dyDescent="0.25">
      <c r="M562">
        <v>10</v>
      </c>
      <c r="N562">
        <v>35</v>
      </c>
      <c r="O562">
        <v>1</v>
      </c>
      <c r="P562">
        <v>60</v>
      </c>
      <c r="Q562">
        <v>1</v>
      </c>
      <c r="R562">
        <v>33</v>
      </c>
      <c r="U562">
        <v>1</v>
      </c>
      <c r="V562">
        <v>1</v>
      </c>
      <c r="W562">
        <v>1</v>
      </c>
    </row>
    <row r="563" spans="13:23" x14ac:dyDescent="0.25">
      <c r="M563">
        <v>12</v>
      </c>
      <c r="N563">
        <v>14</v>
      </c>
      <c r="O563">
        <v>1</v>
      </c>
      <c r="P563">
        <v>60</v>
      </c>
      <c r="R563">
        <v>33</v>
      </c>
      <c r="U563">
        <v>1</v>
      </c>
      <c r="V563">
        <v>1</v>
      </c>
      <c r="W563">
        <v>1</v>
      </c>
    </row>
    <row r="564" spans="13:23" x14ac:dyDescent="0.25">
      <c r="M564">
        <v>14</v>
      </c>
      <c r="N564">
        <v>1</v>
      </c>
      <c r="O564">
        <v>1</v>
      </c>
      <c r="P564">
        <v>60</v>
      </c>
      <c r="R564">
        <v>33</v>
      </c>
      <c r="U564">
        <v>1</v>
      </c>
      <c r="V564">
        <v>1</v>
      </c>
      <c r="W564">
        <v>1</v>
      </c>
    </row>
    <row r="565" spans="13:23" x14ac:dyDescent="0.25">
      <c r="M565">
        <v>15</v>
      </c>
      <c r="N565">
        <v>130</v>
      </c>
      <c r="O565">
        <v>1</v>
      </c>
      <c r="P565">
        <v>60</v>
      </c>
      <c r="Q565">
        <v>1</v>
      </c>
      <c r="R565">
        <v>33</v>
      </c>
      <c r="U565">
        <v>1</v>
      </c>
      <c r="V565">
        <v>1</v>
      </c>
      <c r="W565">
        <v>1</v>
      </c>
    </row>
    <row r="566" spans="13:23" x14ac:dyDescent="0.25">
      <c r="M566">
        <v>17</v>
      </c>
      <c r="N566">
        <v>25</v>
      </c>
      <c r="O566">
        <v>1</v>
      </c>
      <c r="P566">
        <v>60</v>
      </c>
      <c r="Q566">
        <v>1</v>
      </c>
      <c r="R566">
        <v>33</v>
      </c>
      <c r="U566">
        <v>1</v>
      </c>
      <c r="V566">
        <v>1</v>
      </c>
      <c r="W566">
        <v>1</v>
      </c>
    </row>
    <row r="567" spans="13:23" x14ac:dyDescent="0.25">
      <c r="M567">
        <v>19</v>
      </c>
      <c r="N567">
        <v>7</v>
      </c>
      <c r="O567">
        <v>1</v>
      </c>
      <c r="P567">
        <v>60</v>
      </c>
      <c r="Q567">
        <v>1</v>
      </c>
      <c r="R567">
        <v>33</v>
      </c>
      <c r="U567">
        <v>1</v>
      </c>
      <c r="V567">
        <v>1</v>
      </c>
      <c r="W567">
        <v>1</v>
      </c>
    </row>
    <row r="568" spans="13:23" x14ac:dyDescent="0.25">
      <c r="M568">
        <v>7</v>
      </c>
      <c r="N568">
        <v>129</v>
      </c>
      <c r="O568">
        <v>1</v>
      </c>
      <c r="P568">
        <v>60</v>
      </c>
      <c r="Q568">
        <v>1</v>
      </c>
      <c r="R568">
        <v>33</v>
      </c>
      <c r="U568">
        <v>1</v>
      </c>
      <c r="V568">
        <v>1</v>
      </c>
      <c r="W568">
        <v>1</v>
      </c>
    </row>
    <row r="569" spans="13:23" x14ac:dyDescent="0.25">
      <c r="M569">
        <v>8</v>
      </c>
      <c r="N569">
        <v>88</v>
      </c>
      <c r="O569">
        <v>1</v>
      </c>
      <c r="P569">
        <v>61</v>
      </c>
      <c r="Q569">
        <v>1</v>
      </c>
      <c r="R569">
        <v>33</v>
      </c>
      <c r="U569">
        <v>1</v>
      </c>
      <c r="V569">
        <v>1</v>
      </c>
      <c r="W569">
        <v>1</v>
      </c>
    </row>
    <row r="570" spans="13:23" x14ac:dyDescent="0.25">
      <c r="M570">
        <v>8</v>
      </c>
      <c r="N570">
        <v>88</v>
      </c>
      <c r="O570">
        <v>1</v>
      </c>
      <c r="P570">
        <v>61</v>
      </c>
      <c r="Q570">
        <v>1</v>
      </c>
      <c r="R570">
        <v>33</v>
      </c>
      <c r="U570">
        <v>1</v>
      </c>
      <c r="V570">
        <v>1</v>
      </c>
      <c r="W570">
        <v>1</v>
      </c>
    </row>
    <row r="571" spans="13:23" x14ac:dyDescent="0.25">
      <c r="M571">
        <v>10</v>
      </c>
      <c r="N571">
        <v>35</v>
      </c>
      <c r="O571">
        <v>1</v>
      </c>
      <c r="P571">
        <v>61</v>
      </c>
      <c r="Q571">
        <v>1</v>
      </c>
      <c r="R571">
        <v>33</v>
      </c>
      <c r="U571">
        <v>1</v>
      </c>
      <c r="V571">
        <v>1</v>
      </c>
      <c r="W571">
        <v>1</v>
      </c>
    </row>
    <row r="572" spans="13:23" x14ac:dyDescent="0.25">
      <c r="M572">
        <v>12</v>
      </c>
      <c r="N572">
        <v>14</v>
      </c>
      <c r="O572">
        <v>1</v>
      </c>
      <c r="P572">
        <v>61</v>
      </c>
      <c r="R572">
        <v>33</v>
      </c>
      <c r="U572">
        <v>1</v>
      </c>
      <c r="V572">
        <v>1</v>
      </c>
      <c r="W572">
        <v>1</v>
      </c>
    </row>
    <row r="573" spans="13:23" x14ac:dyDescent="0.25">
      <c r="M573">
        <v>14</v>
      </c>
      <c r="N573">
        <v>1</v>
      </c>
      <c r="O573">
        <v>1</v>
      </c>
      <c r="P573">
        <v>61</v>
      </c>
      <c r="R573">
        <v>33</v>
      </c>
      <c r="U573">
        <v>1</v>
      </c>
      <c r="V573">
        <v>1</v>
      </c>
      <c r="W573">
        <v>1</v>
      </c>
    </row>
    <row r="574" spans="13:23" x14ac:dyDescent="0.25">
      <c r="M574">
        <v>15</v>
      </c>
      <c r="N574">
        <v>130</v>
      </c>
      <c r="O574">
        <v>1</v>
      </c>
      <c r="P574">
        <v>61</v>
      </c>
      <c r="Q574">
        <v>1</v>
      </c>
      <c r="R574">
        <v>33</v>
      </c>
      <c r="U574">
        <v>1</v>
      </c>
      <c r="V574">
        <v>1</v>
      </c>
      <c r="W574">
        <v>1</v>
      </c>
    </row>
    <row r="575" spans="13:23" x14ac:dyDescent="0.25">
      <c r="M575">
        <v>17</v>
      </c>
      <c r="N575">
        <v>25</v>
      </c>
      <c r="O575">
        <v>1</v>
      </c>
      <c r="P575">
        <v>61</v>
      </c>
      <c r="Q575">
        <v>1</v>
      </c>
      <c r="R575">
        <v>33</v>
      </c>
      <c r="U575">
        <v>1</v>
      </c>
      <c r="V575">
        <v>1</v>
      </c>
      <c r="W575">
        <v>1</v>
      </c>
    </row>
    <row r="576" spans="13:23" x14ac:dyDescent="0.25">
      <c r="M576">
        <v>19</v>
      </c>
      <c r="N576">
        <v>7</v>
      </c>
      <c r="O576">
        <v>1</v>
      </c>
      <c r="P576">
        <v>61</v>
      </c>
      <c r="Q576">
        <v>1</v>
      </c>
      <c r="R576">
        <v>33</v>
      </c>
      <c r="U576">
        <v>1</v>
      </c>
      <c r="V576">
        <v>1</v>
      </c>
      <c r="W576">
        <v>1</v>
      </c>
    </row>
    <row r="577" spans="13:23" x14ac:dyDescent="0.25">
      <c r="M577">
        <v>7</v>
      </c>
      <c r="N577">
        <v>129</v>
      </c>
      <c r="O577">
        <v>1</v>
      </c>
      <c r="P577">
        <v>61</v>
      </c>
      <c r="Q577">
        <v>1</v>
      </c>
      <c r="R577">
        <v>33</v>
      </c>
      <c r="U577">
        <v>1</v>
      </c>
      <c r="V577">
        <v>1</v>
      </c>
      <c r="W577">
        <v>1</v>
      </c>
    </row>
    <row r="578" spans="13:23" x14ac:dyDescent="0.25">
      <c r="M578">
        <v>8</v>
      </c>
      <c r="N578">
        <v>88</v>
      </c>
      <c r="O578">
        <v>1</v>
      </c>
      <c r="P578">
        <v>62</v>
      </c>
      <c r="Q578">
        <v>1</v>
      </c>
      <c r="R578">
        <v>33</v>
      </c>
      <c r="U578">
        <v>1</v>
      </c>
      <c r="V578">
        <v>1</v>
      </c>
      <c r="W578">
        <v>1</v>
      </c>
    </row>
    <row r="579" spans="13:23" x14ac:dyDescent="0.25">
      <c r="M579">
        <v>8</v>
      </c>
      <c r="N579">
        <v>88</v>
      </c>
      <c r="O579">
        <v>1</v>
      </c>
      <c r="P579">
        <v>62</v>
      </c>
      <c r="Q579">
        <v>1</v>
      </c>
      <c r="R579">
        <v>33</v>
      </c>
      <c r="U579">
        <v>1</v>
      </c>
      <c r="V579">
        <v>1</v>
      </c>
      <c r="W579">
        <v>1</v>
      </c>
    </row>
    <row r="580" spans="13:23" x14ac:dyDescent="0.25">
      <c r="M580">
        <v>10</v>
      </c>
      <c r="N580">
        <v>35</v>
      </c>
      <c r="O580">
        <v>1</v>
      </c>
      <c r="P580">
        <v>62</v>
      </c>
      <c r="Q580">
        <v>1</v>
      </c>
      <c r="R580">
        <v>33</v>
      </c>
      <c r="U580">
        <v>1</v>
      </c>
      <c r="V580">
        <v>1</v>
      </c>
      <c r="W580">
        <v>1</v>
      </c>
    </row>
    <row r="581" spans="13:23" x14ac:dyDescent="0.25">
      <c r="M581">
        <v>12</v>
      </c>
      <c r="N581">
        <v>14</v>
      </c>
      <c r="O581">
        <v>1</v>
      </c>
      <c r="P581">
        <v>62</v>
      </c>
      <c r="R581">
        <v>33</v>
      </c>
      <c r="U581">
        <v>1</v>
      </c>
      <c r="V581">
        <v>1</v>
      </c>
      <c r="W581">
        <v>1</v>
      </c>
    </row>
    <row r="582" spans="13:23" x14ac:dyDescent="0.25">
      <c r="M582">
        <v>14</v>
      </c>
      <c r="N582">
        <v>1</v>
      </c>
      <c r="O582">
        <v>1</v>
      </c>
      <c r="P582">
        <v>62</v>
      </c>
      <c r="R582">
        <v>33</v>
      </c>
      <c r="U582">
        <v>1</v>
      </c>
      <c r="V582">
        <v>1</v>
      </c>
      <c r="W582">
        <v>1</v>
      </c>
    </row>
    <row r="583" spans="13:23" x14ac:dyDescent="0.25">
      <c r="M583">
        <v>15</v>
      </c>
      <c r="N583">
        <v>130</v>
      </c>
      <c r="O583">
        <v>1</v>
      </c>
      <c r="P583">
        <v>62</v>
      </c>
      <c r="Q583">
        <v>1</v>
      </c>
      <c r="R583">
        <v>33</v>
      </c>
      <c r="U583">
        <v>1</v>
      </c>
      <c r="V583">
        <v>1</v>
      </c>
      <c r="W583">
        <v>1</v>
      </c>
    </row>
    <row r="584" spans="13:23" x14ac:dyDescent="0.25">
      <c r="M584">
        <v>17</v>
      </c>
      <c r="N584">
        <v>25</v>
      </c>
      <c r="O584">
        <v>1</v>
      </c>
      <c r="P584">
        <v>62</v>
      </c>
      <c r="Q584">
        <v>1</v>
      </c>
      <c r="R584">
        <v>33</v>
      </c>
      <c r="U584">
        <v>1</v>
      </c>
      <c r="V584">
        <v>1</v>
      </c>
      <c r="W584">
        <v>1</v>
      </c>
    </row>
    <row r="585" spans="13:23" x14ac:dyDescent="0.25">
      <c r="M585">
        <v>19</v>
      </c>
      <c r="N585">
        <v>7</v>
      </c>
      <c r="O585">
        <v>1</v>
      </c>
      <c r="P585">
        <v>62</v>
      </c>
      <c r="Q585">
        <v>1</v>
      </c>
      <c r="R585">
        <v>33</v>
      </c>
      <c r="U585">
        <v>1</v>
      </c>
      <c r="V585">
        <v>1</v>
      </c>
      <c r="W585">
        <v>1</v>
      </c>
    </row>
    <row r="586" spans="13:23" x14ac:dyDescent="0.25">
      <c r="M586">
        <v>7</v>
      </c>
      <c r="N586">
        <v>129</v>
      </c>
      <c r="O586">
        <v>1</v>
      </c>
      <c r="P586">
        <v>62</v>
      </c>
      <c r="Q586">
        <v>1</v>
      </c>
      <c r="R586">
        <v>33</v>
      </c>
      <c r="U586">
        <v>1</v>
      </c>
      <c r="V586">
        <v>1</v>
      </c>
      <c r="W586">
        <v>1</v>
      </c>
    </row>
    <row r="587" spans="13:23" x14ac:dyDescent="0.25">
      <c r="M587">
        <v>8</v>
      </c>
      <c r="N587">
        <v>88</v>
      </c>
      <c r="O587">
        <v>1</v>
      </c>
      <c r="P587">
        <v>63</v>
      </c>
      <c r="Q587">
        <v>1</v>
      </c>
      <c r="R587">
        <v>33</v>
      </c>
      <c r="U587">
        <v>1</v>
      </c>
      <c r="V587">
        <v>1</v>
      </c>
      <c r="W587">
        <v>1</v>
      </c>
    </row>
    <row r="588" spans="13:23" x14ac:dyDescent="0.25">
      <c r="M588">
        <v>8</v>
      </c>
      <c r="N588">
        <v>88</v>
      </c>
      <c r="O588">
        <v>1</v>
      </c>
      <c r="P588">
        <v>63</v>
      </c>
      <c r="Q588">
        <v>1</v>
      </c>
      <c r="R588">
        <v>33</v>
      </c>
      <c r="U588">
        <v>1</v>
      </c>
      <c r="V588">
        <v>1</v>
      </c>
      <c r="W588">
        <v>1</v>
      </c>
    </row>
    <row r="589" spans="13:23" x14ac:dyDescent="0.25">
      <c r="M589">
        <v>10</v>
      </c>
      <c r="N589">
        <v>35</v>
      </c>
      <c r="O589">
        <v>1</v>
      </c>
      <c r="P589">
        <v>63</v>
      </c>
      <c r="Q589">
        <v>1</v>
      </c>
      <c r="R589">
        <v>33</v>
      </c>
      <c r="U589">
        <v>1</v>
      </c>
      <c r="V589">
        <v>1</v>
      </c>
      <c r="W589">
        <v>1</v>
      </c>
    </row>
    <row r="590" spans="13:23" x14ac:dyDescent="0.25">
      <c r="M590">
        <v>12</v>
      </c>
      <c r="N590">
        <v>14</v>
      </c>
      <c r="O590">
        <v>1</v>
      </c>
      <c r="P590">
        <v>63</v>
      </c>
      <c r="R590">
        <v>33</v>
      </c>
      <c r="U590">
        <v>1</v>
      </c>
      <c r="V590">
        <v>1</v>
      </c>
      <c r="W590">
        <v>1</v>
      </c>
    </row>
    <row r="591" spans="13:23" x14ac:dyDescent="0.25">
      <c r="M591">
        <v>14</v>
      </c>
      <c r="N591">
        <v>1</v>
      </c>
      <c r="O591">
        <v>1</v>
      </c>
      <c r="P591">
        <v>63</v>
      </c>
      <c r="R591">
        <v>33</v>
      </c>
      <c r="U591">
        <v>1</v>
      </c>
      <c r="V591">
        <v>1</v>
      </c>
      <c r="W591">
        <v>1</v>
      </c>
    </row>
    <row r="592" spans="13:23" x14ac:dyDescent="0.25">
      <c r="M592">
        <v>15</v>
      </c>
      <c r="N592">
        <v>130</v>
      </c>
      <c r="O592">
        <v>1</v>
      </c>
      <c r="P592">
        <v>63</v>
      </c>
      <c r="Q592">
        <v>1</v>
      </c>
      <c r="R592">
        <v>33</v>
      </c>
      <c r="U592">
        <v>1</v>
      </c>
      <c r="V592">
        <v>1</v>
      </c>
      <c r="W592">
        <v>1</v>
      </c>
    </row>
    <row r="593" spans="13:23" x14ac:dyDescent="0.25">
      <c r="M593">
        <v>17</v>
      </c>
      <c r="N593">
        <v>25</v>
      </c>
      <c r="O593">
        <v>1</v>
      </c>
      <c r="P593">
        <v>63</v>
      </c>
      <c r="Q593">
        <v>1</v>
      </c>
      <c r="R593">
        <v>33</v>
      </c>
      <c r="U593">
        <v>1</v>
      </c>
      <c r="V593">
        <v>1</v>
      </c>
      <c r="W593">
        <v>1</v>
      </c>
    </row>
    <row r="594" spans="13:23" x14ac:dyDescent="0.25">
      <c r="M594">
        <v>19</v>
      </c>
      <c r="N594">
        <v>7</v>
      </c>
      <c r="O594">
        <v>1</v>
      </c>
      <c r="P594">
        <v>63</v>
      </c>
      <c r="Q594">
        <v>1</v>
      </c>
      <c r="R594">
        <v>33</v>
      </c>
      <c r="U594">
        <v>1</v>
      </c>
      <c r="V594">
        <v>1</v>
      </c>
      <c r="W594">
        <v>1</v>
      </c>
    </row>
    <row r="595" spans="13:23" x14ac:dyDescent="0.25">
      <c r="M595">
        <v>7</v>
      </c>
      <c r="N595">
        <v>129</v>
      </c>
      <c r="O595">
        <v>1</v>
      </c>
      <c r="P595">
        <v>63</v>
      </c>
      <c r="Q595">
        <v>1</v>
      </c>
      <c r="R595">
        <v>33</v>
      </c>
      <c r="U595">
        <v>1</v>
      </c>
      <c r="V595">
        <v>1</v>
      </c>
      <c r="W595">
        <v>1</v>
      </c>
    </row>
    <row r="596" spans="13:23" x14ac:dyDescent="0.25">
      <c r="M596">
        <v>8</v>
      </c>
      <c r="N596">
        <v>88</v>
      </c>
      <c r="O596">
        <v>1</v>
      </c>
      <c r="P596">
        <v>64</v>
      </c>
      <c r="Q596">
        <v>1</v>
      </c>
      <c r="R596">
        <v>33</v>
      </c>
      <c r="U596">
        <v>1</v>
      </c>
      <c r="V596">
        <v>1</v>
      </c>
      <c r="W596">
        <v>1</v>
      </c>
    </row>
    <row r="597" spans="13:23" x14ac:dyDescent="0.25">
      <c r="M597">
        <v>8</v>
      </c>
      <c r="N597">
        <v>88</v>
      </c>
      <c r="O597">
        <v>1</v>
      </c>
      <c r="P597">
        <v>64</v>
      </c>
      <c r="Q597">
        <v>1</v>
      </c>
      <c r="R597">
        <v>33</v>
      </c>
      <c r="U597">
        <v>1</v>
      </c>
      <c r="V597">
        <v>1</v>
      </c>
      <c r="W597">
        <v>1</v>
      </c>
    </row>
    <row r="598" spans="13:23" x14ac:dyDescent="0.25">
      <c r="M598">
        <v>10</v>
      </c>
      <c r="N598">
        <v>35</v>
      </c>
      <c r="O598">
        <v>1</v>
      </c>
      <c r="P598">
        <v>64</v>
      </c>
      <c r="Q598">
        <v>1</v>
      </c>
      <c r="R598">
        <v>33</v>
      </c>
      <c r="U598">
        <v>1</v>
      </c>
      <c r="V598">
        <v>1</v>
      </c>
      <c r="W598">
        <v>1</v>
      </c>
    </row>
    <row r="599" spans="13:23" x14ac:dyDescent="0.25">
      <c r="M599">
        <v>12</v>
      </c>
      <c r="N599">
        <v>14</v>
      </c>
      <c r="O599">
        <v>1</v>
      </c>
      <c r="P599">
        <v>64</v>
      </c>
      <c r="R599">
        <v>33</v>
      </c>
      <c r="U599">
        <v>1</v>
      </c>
      <c r="V599">
        <v>1</v>
      </c>
      <c r="W599">
        <v>1</v>
      </c>
    </row>
    <row r="600" spans="13:23" x14ac:dyDescent="0.25">
      <c r="M600">
        <v>14</v>
      </c>
      <c r="N600">
        <v>1</v>
      </c>
      <c r="O600">
        <v>1</v>
      </c>
      <c r="P600">
        <v>64</v>
      </c>
      <c r="R600">
        <v>33</v>
      </c>
      <c r="U600">
        <v>1</v>
      </c>
      <c r="V600">
        <v>1</v>
      </c>
      <c r="W600">
        <v>1</v>
      </c>
    </row>
    <row r="601" spans="13:23" x14ac:dyDescent="0.25">
      <c r="M601">
        <v>15</v>
      </c>
      <c r="N601">
        <v>130</v>
      </c>
      <c r="O601">
        <v>1</v>
      </c>
      <c r="P601">
        <v>64</v>
      </c>
      <c r="Q601">
        <v>1</v>
      </c>
      <c r="R601">
        <v>33</v>
      </c>
      <c r="U601">
        <v>1</v>
      </c>
      <c r="V601">
        <v>1</v>
      </c>
      <c r="W601">
        <v>1</v>
      </c>
    </row>
    <row r="602" spans="13:23" x14ac:dyDescent="0.25">
      <c r="M602">
        <v>17</v>
      </c>
      <c r="N602">
        <v>25</v>
      </c>
      <c r="O602">
        <v>1</v>
      </c>
      <c r="P602">
        <v>64</v>
      </c>
      <c r="Q602">
        <v>1</v>
      </c>
      <c r="R602">
        <v>33</v>
      </c>
      <c r="U602">
        <v>1</v>
      </c>
      <c r="V602">
        <v>1</v>
      </c>
      <c r="W602">
        <v>1</v>
      </c>
    </row>
    <row r="603" spans="13:23" x14ac:dyDescent="0.25">
      <c r="M603">
        <v>19</v>
      </c>
      <c r="N603">
        <v>7</v>
      </c>
      <c r="O603">
        <v>1</v>
      </c>
      <c r="P603">
        <v>64</v>
      </c>
      <c r="Q603">
        <v>1</v>
      </c>
      <c r="R603">
        <v>33</v>
      </c>
      <c r="U603">
        <v>1</v>
      </c>
      <c r="V603">
        <v>1</v>
      </c>
      <c r="W603">
        <v>1</v>
      </c>
    </row>
    <row r="604" spans="13:23" x14ac:dyDescent="0.25">
      <c r="M604">
        <v>7</v>
      </c>
      <c r="N604">
        <v>129</v>
      </c>
      <c r="O604">
        <v>1</v>
      </c>
      <c r="P604">
        <v>64</v>
      </c>
      <c r="Q604">
        <v>1</v>
      </c>
      <c r="R604">
        <v>33</v>
      </c>
      <c r="U604">
        <v>1</v>
      </c>
      <c r="V604">
        <v>1</v>
      </c>
      <c r="W604">
        <v>1</v>
      </c>
    </row>
    <row r="605" spans="13:23" x14ac:dyDescent="0.25">
      <c r="M605">
        <v>8</v>
      </c>
      <c r="N605">
        <v>88</v>
      </c>
      <c r="O605">
        <v>1</v>
      </c>
      <c r="P605">
        <v>65</v>
      </c>
      <c r="Q605">
        <v>1</v>
      </c>
      <c r="R605">
        <v>33</v>
      </c>
      <c r="U605">
        <v>1</v>
      </c>
      <c r="V605">
        <v>1</v>
      </c>
      <c r="W605">
        <v>1</v>
      </c>
    </row>
    <row r="606" spans="13:23" x14ac:dyDescent="0.25">
      <c r="M606">
        <v>8</v>
      </c>
      <c r="N606">
        <v>88</v>
      </c>
      <c r="O606">
        <v>1</v>
      </c>
      <c r="P606">
        <v>65</v>
      </c>
      <c r="Q606">
        <v>1</v>
      </c>
      <c r="R606">
        <v>33</v>
      </c>
      <c r="U606">
        <v>1</v>
      </c>
      <c r="V606">
        <v>1</v>
      </c>
      <c r="W606">
        <v>1</v>
      </c>
    </row>
    <row r="607" spans="13:23" x14ac:dyDescent="0.25">
      <c r="M607">
        <v>10</v>
      </c>
      <c r="N607">
        <v>35</v>
      </c>
      <c r="O607">
        <v>1</v>
      </c>
      <c r="P607">
        <v>65</v>
      </c>
      <c r="Q607">
        <v>1</v>
      </c>
      <c r="R607">
        <v>33</v>
      </c>
      <c r="U607">
        <v>1</v>
      </c>
      <c r="V607">
        <v>1</v>
      </c>
      <c r="W607">
        <v>1</v>
      </c>
    </row>
    <row r="608" spans="13:23" x14ac:dyDescent="0.25">
      <c r="M608">
        <v>12</v>
      </c>
      <c r="N608">
        <v>14</v>
      </c>
      <c r="O608">
        <v>1</v>
      </c>
      <c r="P608">
        <v>65</v>
      </c>
      <c r="R608">
        <v>33</v>
      </c>
      <c r="U608">
        <v>1</v>
      </c>
      <c r="V608">
        <v>1</v>
      </c>
      <c r="W608">
        <v>1</v>
      </c>
    </row>
    <row r="609" spans="13:23" x14ac:dyDescent="0.25">
      <c r="M609">
        <v>14</v>
      </c>
      <c r="N609">
        <v>1</v>
      </c>
      <c r="O609">
        <v>1</v>
      </c>
      <c r="P609">
        <v>65</v>
      </c>
      <c r="R609">
        <v>33</v>
      </c>
      <c r="U609">
        <v>1</v>
      </c>
      <c r="V609">
        <v>1</v>
      </c>
      <c r="W609">
        <v>1</v>
      </c>
    </row>
    <row r="610" spans="13:23" x14ac:dyDescent="0.25">
      <c r="M610">
        <v>15</v>
      </c>
      <c r="N610">
        <v>130</v>
      </c>
      <c r="O610">
        <v>1</v>
      </c>
      <c r="P610">
        <v>65</v>
      </c>
      <c r="Q610">
        <v>1</v>
      </c>
      <c r="R610">
        <v>33</v>
      </c>
      <c r="U610">
        <v>1</v>
      </c>
      <c r="V610">
        <v>1</v>
      </c>
      <c r="W610">
        <v>1</v>
      </c>
    </row>
    <row r="611" spans="13:23" x14ac:dyDescent="0.25">
      <c r="M611">
        <v>17</v>
      </c>
      <c r="N611">
        <v>25</v>
      </c>
      <c r="O611">
        <v>1</v>
      </c>
      <c r="P611">
        <v>65</v>
      </c>
      <c r="Q611">
        <v>1</v>
      </c>
      <c r="R611">
        <v>33</v>
      </c>
      <c r="U611">
        <v>1</v>
      </c>
      <c r="V611">
        <v>1</v>
      </c>
      <c r="W611">
        <v>1</v>
      </c>
    </row>
    <row r="612" spans="13:23" x14ac:dyDescent="0.25">
      <c r="M612">
        <v>19</v>
      </c>
      <c r="N612">
        <v>7</v>
      </c>
      <c r="O612">
        <v>1</v>
      </c>
      <c r="P612">
        <v>65</v>
      </c>
      <c r="Q612">
        <v>1</v>
      </c>
      <c r="R612">
        <v>33</v>
      </c>
      <c r="U612">
        <v>1</v>
      </c>
      <c r="V612">
        <v>1</v>
      </c>
      <c r="W612">
        <v>1</v>
      </c>
    </row>
    <row r="613" spans="13:23" x14ac:dyDescent="0.25">
      <c r="M613">
        <v>7</v>
      </c>
      <c r="N613">
        <v>129</v>
      </c>
      <c r="O613">
        <v>1</v>
      </c>
      <c r="P613">
        <v>65</v>
      </c>
      <c r="Q613">
        <v>1</v>
      </c>
      <c r="R613">
        <v>33</v>
      </c>
      <c r="U613">
        <v>1</v>
      </c>
      <c r="V613">
        <v>1</v>
      </c>
      <c r="W613">
        <v>1</v>
      </c>
    </row>
    <row r="614" spans="13:23" x14ac:dyDescent="0.25">
      <c r="M614">
        <v>8</v>
      </c>
      <c r="N614">
        <v>88</v>
      </c>
      <c r="O614">
        <v>1</v>
      </c>
      <c r="P614">
        <v>66</v>
      </c>
      <c r="Q614">
        <v>1</v>
      </c>
      <c r="R614">
        <v>33</v>
      </c>
      <c r="U614">
        <v>1</v>
      </c>
      <c r="V614">
        <v>1</v>
      </c>
      <c r="W614">
        <v>1</v>
      </c>
    </row>
    <row r="615" spans="13:23" x14ac:dyDescent="0.25">
      <c r="M615">
        <v>8</v>
      </c>
      <c r="N615">
        <v>88</v>
      </c>
      <c r="O615">
        <v>1</v>
      </c>
      <c r="P615">
        <v>66</v>
      </c>
      <c r="Q615">
        <v>1</v>
      </c>
      <c r="R615">
        <v>33</v>
      </c>
      <c r="U615">
        <v>1</v>
      </c>
      <c r="V615">
        <v>1</v>
      </c>
      <c r="W615">
        <v>1</v>
      </c>
    </row>
    <row r="616" spans="13:23" x14ac:dyDescent="0.25">
      <c r="M616">
        <v>10</v>
      </c>
      <c r="N616">
        <v>35</v>
      </c>
      <c r="O616">
        <v>1</v>
      </c>
      <c r="P616">
        <v>66</v>
      </c>
      <c r="Q616">
        <v>1</v>
      </c>
      <c r="R616">
        <v>33</v>
      </c>
      <c r="U616">
        <v>1</v>
      </c>
      <c r="V616">
        <v>1</v>
      </c>
      <c r="W616">
        <v>1</v>
      </c>
    </row>
    <row r="617" spans="13:23" x14ac:dyDescent="0.25">
      <c r="M617">
        <v>12</v>
      </c>
      <c r="N617">
        <v>14</v>
      </c>
      <c r="O617">
        <v>1</v>
      </c>
      <c r="P617">
        <v>66</v>
      </c>
      <c r="R617">
        <v>33</v>
      </c>
      <c r="U617">
        <v>1</v>
      </c>
      <c r="V617">
        <v>1</v>
      </c>
      <c r="W617">
        <v>1</v>
      </c>
    </row>
    <row r="618" spans="13:23" x14ac:dyDescent="0.25">
      <c r="M618">
        <v>14</v>
      </c>
      <c r="N618">
        <v>1</v>
      </c>
      <c r="O618">
        <v>1</v>
      </c>
      <c r="P618">
        <v>66</v>
      </c>
      <c r="R618">
        <v>33</v>
      </c>
      <c r="U618">
        <v>1</v>
      </c>
      <c r="V618">
        <v>1</v>
      </c>
      <c r="W618">
        <v>1</v>
      </c>
    </row>
    <row r="619" spans="13:23" x14ac:dyDescent="0.25">
      <c r="M619">
        <v>15</v>
      </c>
      <c r="N619">
        <v>130</v>
      </c>
      <c r="O619">
        <v>1</v>
      </c>
      <c r="P619">
        <v>66</v>
      </c>
      <c r="Q619">
        <v>1</v>
      </c>
      <c r="R619">
        <v>33</v>
      </c>
      <c r="U619">
        <v>1</v>
      </c>
      <c r="V619">
        <v>1</v>
      </c>
      <c r="W619">
        <v>1</v>
      </c>
    </row>
    <row r="620" spans="13:23" x14ac:dyDescent="0.25">
      <c r="M620">
        <v>17</v>
      </c>
      <c r="N620">
        <v>25</v>
      </c>
      <c r="O620">
        <v>1</v>
      </c>
      <c r="P620">
        <v>66</v>
      </c>
      <c r="Q620">
        <v>1</v>
      </c>
      <c r="R620">
        <v>33</v>
      </c>
      <c r="U620">
        <v>1</v>
      </c>
      <c r="V620">
        <v>1</v>
      </c>
      <c r="W620">
        <v>1</v>
      </c>
    </row>
    <row r="621" spans="13:23" x14ac:dyDescent="0.25">
      <c r="M621">
        <v>19</v>
      </c>
      <c r="N621">
        <v>7</v>
      </c>
      <c r="O621">
        <v>1</v>
      </c>
      <c r="P621">
        <v>66</v>
      </c>
      <c r="Q621">
        <v>1</v>
      </c>
      <c r="R621">
        <v>33</v>
      </c>
      <c r="U621">
        <v>1</v>
      </c>
      <c r="V621">
        <v>1</v>
      </c>
      <c r="W621">
        <v>1</v>
      </c>
    </row>
    <row r="622" spans="13:23" x14ac:dyDescent="0.25">
      <c r="M622">
        <v>7</v>
      </c>
      <c r="N622">
        <v>129</v>
      </c>
      <c r="O622">
        <v>1</v>
      </c>
      <c r="P622">
        <v>66</v>
      </c>
      <c r="Q622">
        <v>1</v>
      </c>
      <c r="R622">
        <v>33</v>
      </c>
      <c r="U622">
        <v>1</v>
      </c>
      <c r="V622">
        <v>1</v>
      </c>
      <c r="W622">
        <v>1</v>
      </c>
    </row>
    <row r="623" spans="13:23" x14ac:dyDescent="0.25">
      <c r="M623">
        <v>8</v>
      </c>
      <c r="N623">
        <v>88</v>
      </c>
      <c r="O623">
        <v>1</v>
      </c>
      <c r="P623">
        <v>67</v>
      </c>
      <c r="Q623">
        <v>1</v>
      </c>
      <c r="R623">
        <v>33</v>
      </c>
      <c r="U623">
        <v>1</v>
      </c>
      <c r="V623">
        <v>1</v>
      </c>
      <c r="W623">
        <v>1</v>
      </c>
    </row>
    <row r="624" spans="13:23" x14ac:dyDescent="0.25">
      <c r="M624">
        <v>8</v>
      </c>
      <c r="N624">
        <v>88</v>
      </c>
      <c r="O624">
        <v>1</v>
      </c>
      <c r="P624">
        <v>67</v>
      </c>
      <c r="Q624">
        <v>1</v>
      </c>
      <c r="R624">
        <v>33</v>
      </c>
      <c r="U624">
        <v>1</v>
      </c>
      <c r="V624">
        <v>1</v>
      </c>
      <c r="W624">
        <v>1</v>
      </c>
    </row>
    <row r="625" spans="13:23" x14ac:dyDescent="0.25">
      <c r="M625">
        <v>10</v>
      </c>
      <c r="N625">
        <v>35</v>
      </c>
      <c r="O625">
        <v>1</v>
      </c>
      <c r="P625">
        <v>67</v>
      </c>
      <c r="Q625">
        <v>1</v>
      </c>
      <c r="R625">
        <v>33</v>
      </c>
      <c r="U625">
        <v>1</v>
      </c>
      <c r="V625">
        <v>1</v>
      </c>
      <c r="W625">
        <v>1</v>
      </c>
    </row>
    <row r="626" spans="13:23" x14ac:dyDescent="0.25">
      <c r="M626">
        <v>12</v>
      </c>
      <c r="N626">
        <v>14</v>
      </c>
      <c r="O626">
        <v>1</v>
      </c>
      <c r="P626">
        <v>67</v>
      </c>
      <c r="R626">
        <v>33</v>
      </c>
      <c r="U626">
        <v>1</v>
      </c>
      <c r="V626">
        <v>1</v>
      </c>
      <c r="W626">
        <v>1</v>
      </c>
    </row>
    <row r="627" spans="13:23" x14ac:dyDescent="0.25">
      <c r="M627">
        <v>14</v>
      </c>
      <c r="N627">
        <v>1</v>
      </c>
      <c r="O627">
        <v>1</v>
      </c>
      <c r="P627">
        <v>67</v>
      </c>
      <c r="R627">
        <v>33</v>
      </c>
      <c r="U627">
        <v>1</v>
      </c>
      <c r="V627">
        <v>1</v>
      </c>
      <c r="W627">
        <v>1</v>
      </c>
    </row>
    <row r="628" spans="13:23" x14ac:dyDescent="0.25">
      <c r="M628">
        <v>15</v>
      </c>
      <c r="N628">
        <v>130</v>
      </c>
      <c r="O628">
        <v>1</v>
      </c>
      <c r="P628">
        <v>67</v>
      </c>
      <c r="Q628">
        <v>1</v>
      </c>
      <c r="R628">
        <v>33</v>
      </c>
      <c r="U628">
        <v>1</v>
      </c>
      <c r="V628">
        <v>1</v>
      </c>
      <c r="W628">
        <v>1</v>
      </c>
    </row>
    <row r="629" spans="13:23" x14ac:dyDescent="0.25">
      <c r="M629">
        <v>17</v>
      </c>
      <c r="N629">
        <v>25</v>
      </c>
      <c r="O629">
        <v>1</v>
      </c>
      <c r="P629">
        <v>67</v>
      </c>
      <c r="Q629">
        <v>1</v>
      </c>
      <c r="R629">
        <v>33</v>
      </c>
      <c r="U629">
        <v>1</v>
      </c>
      <c r="V629">
        <v>1</v>
      </c>
      <c r="W629">
        <v>1</v>
      </c>
    </row>
    <row r="630" spans="13:23" x14ac:dyDescent="0.25">
      <c r="M630">
        <v>19</v>
      </c>
      <c r="N630">
        <v>7</v>
      </c>
      <c r="O630">
        <v>1</v>
      </c>
      <c r="P630">
        <v>67</v>
      </c>
      <c r="Q630">
        <v>1</v>
      </c>
      <c r="R630">
        <v>33</v>
      </c>
      <c r="U630">
        <v>1</v>
      </c>
      <c r="V630">
        <v>1</v>
      </c>
      <c r="W630">
        <v>1</v>
      </c>
    </row>
    <row r="631" spans="13:23" x14ac:dyDescent="0.25">
      <c r="M631">
        <v>7</v>
      </c>
      <c r="N631">
        <v>129</v>
      </c>
      <c r="O631">
        <v>1</v>
      </c>
      <c r="P631">
        <v>67</v>
      </c>
      <c r="Q631">
        <v>1</v>
      </c>
      <c r="R631">
        <v>33</v>
      </c>
      <c r="U631">
        <v>1</v>
      </c>
      <c r="V631">
        <v>1</v>
      </c>
      <c r="W631">
        <v>1</v>
      </c>
    </row>
    <row r="632" spans="13:23" x14ac:dyDescent="0.25">
      <c r="M632">
        <v>8</v>
      </c>
      <c r="N632">
        <v>88</v>
      </c>
      <c r="O632">
        <v>1</v>
      </c>
      <c r="P632">
        <v>68</v>
      </c>
      <c r="Q632">
        <v>1</v>
      </c>
      <c r="R632">
        <v>33</v>
      </c>
      <c r="U632">
        <v>1</v>
      </c>
      <c r="V632">
        <v>1</v>
      </c>
      <c r="W632">
        <v>1</v>
      </c>
    </row>
    <row r="633" spans="13:23" x14ac:dyDescent="0.25">
      <c r="M633">
        <v>8</v>
      </c>
      <c r="N633">
        <v>88</v>
      </c>
      <c r="O633">
        <v>1</v>
      </c>
      <c r="P633">
        <v>68</v>
      </c>
      <c r="Q633">
        <v>1</v>
      </c>
      <c r="R633">
        <v>33</v>
      </c>
      <c r="U633">
        <v>1</v>
      </c>
      <c r="V633">
        <v>1</v>
      </c>
      <c r="W633">
        <v>1</v>
      </c>
    </row>
    <row r="634" spans="13:23" x14ac:dyDescent="0.25">
      <c r="M634">
        <v>10</v>
      </c>
      <c r="N634">
        <v>35</v>
      </c>
      <c r="O634">
        <v>1</v>
      </c>
      <c r="P634">
        <v>68</v>
      </c>
      <c r="Q634">
        <v>1</v>
      </c>
      <c r="R634">
        <v>33</v>
      </c>
      <c r="U634">
        <v>1</v>
      </c>
      <c r="V634">
        <v>1</v>
      </c>
      <c r="W634">
        <v>1</v>
      </c>
    </row>
    <row r="635" spans="13:23" x14ac:dyDescent="0.25">
      <c r="M635">
        <v>12</v>
      </c>
      <c r="N635">
        <v>14</v>
      </c>
      <c r="O635">
        <v>1</v>
      </c>
      <c r="P635">
        <v>68</v>
      </c>
      <c r="R635">
        <v>33</v>
      </c>
      <c r="U635">
        <v>1</v>
      </c>
      <c r="V635">
        <v>1</v>
      </c>
      <c r="W635">
        <v>1</v>
      </c>
    </row>
    <row r="636" spans="13:23" x14ac:dyDescent="0.25">
      <c r="M636">
        <v>14</v>
      </c>
      <c r="N636">
        <v>1</v>
      </c>
      <c r="O636">
        <v>1</v>
      </c>
      <c r="P636">
        <v>68</v>
      </c>
      <c r="R636">
        <v>33</v>
      </c>
      <c r="U636">
        <v>1</v>
      </c>
      <c r="V636">
        <v>1</v>
      </c>
      <c r="W636">
        <v>1</v>
      </c>
    </row>
    <row r="637" spans="13:23" x14ac:dyDescent="0.25">
      <c r="M637">
        <v>15</v>
      </c>
      <c r="N637">
        <v>130</v>
      </c>
      <c r="O637">
        <v>1</v>
      </c>
      <c r="P637">
        <v>68</v>
      </c>
      <c r="Q637">
        <v>1</v>
      </c>
      <c r="R637">
        <v>33</v>
      </c>
      <c r="U637">
        <v>1</v>
      </c>
      <c r="V637">
        <v>1</v>
      </c>
      <c r="W637">
        <v>1</v>
      </c>
    </row>
    <row r="638" spans="13:23" x14ac:dyDescent="0.25">
      <c r="M638">
        <v>17</v>
      </c>
      <c r="N638">
        <v>25</v>
      </c>
      <c r="O638">
        <v>1</v>
      </c>
      <c r="P638">
        <v>68</v>
      </c>
      <c r="Q638">
        <v>1</v>
      </c>
      <c r="R638">
        <v>33</v>
      </c>
      <c r="U638">
        <v>1</v>
      </c>
      <c r="V638">
        <v>1</v>
      </c>
      <c r="W638">
        <v>1</v>
      </c>
    </row>
    <row r="639" spans="13:23" x14ac:dyDescent="0.25">
      <c r="M639">
        <v>19</v>
      </c>
      <c r="N639">
        <v>7</v>
      </c>
      <c r="O639">
        <v>1</v>
      </c>
      <c r="P639">
        <v>68</v>
      </c>
      <c r="Q639">
        <v>1</v>
      </c>
      <c r="R639">
        <v>33</v>
      </c>
      <c r="U639">
        <v>1</v>
      </c>
      <c r="V639">
        <v>1</v>
      </c>
      <c r="W639">
        <v>1</v>
      </c>
    </row>
    <row r="640" spans="13:23" x14ac:dyDescent="0.25">
      <c r="M640">
        <v>7</v>
      </c>
      <c r="N640">
        <v>129</v>
      </c>
      <c r="O640">
        <v>1</v>
      </c>
      <c r="P640">
        <v>68</v>
      </c>
      <c r="Q640">
        <v>1</v>
      </c>
      <c r="R640">
        <v>33</v>
      </c>
      <c r="U640">
        <v>1</v>
      </c>
      <c r="V640">
        <v>1</v>
      </c>
      <c r="W640">
        <v>1</v>
      </c>
    </row>
    <row r="641" spans="13:23" x14ac:dyDescent="0.25">
      <c r="M641">
        <v>8</v>
      </c>
      <c r="N641">
        <v>88</v>
      </c>
      <c r="O641">
        <v>1</v>
      </c>
      <c r="P641">
        <v>69</v>
      </c>
      <c r="Q641">
        <v>1</v>
      </c>
      <c r="R641">
        <v>33</v>
      </c>
      <c r="U641">
        <v>1</v>
      </c>
      <c r="V641">
        <v>1</v>
      </c>
      <c r="W641">
        <v>1</v>
      </c>
    </row>
    <row r="642" spans="13:23" x14ac:dyDescent="0.25">
      <c r="M642">
        <v>8</v>
      </c>
      <c r="N642">
        <v>88</v>
      </c>
      <c r="O642">
        <v>1</v>
      </c>
      <c r="P642">
        <v>69</v>
      </c>
      <c r="Q642">
        <v>1</v>
      </c>
      <c r="R642">
        <v>33</v>
      </c>
      <c r="U642">
        <v>1</v>
      </c>
      <c r="V642">
        <v>1</v>
      </c>
      <c r="W642">
        <v>1</v>
      </c>
    </row>
    <row r="643" spans="13:23" x14ac:dyDescent="0.25">
      <c r="M643">
        <v>10</v>
      </c>
      <c r="N643">
        <v>35</v>
      </c>
      <c r="O643">
        <v>1</v>
      </c>
      <c r="P643">
        <v>69</v>
      </c>
      <c r="Q643">
        <v>1</v>
      </c>
      <c r="R643">
        <v>33</v>
      </c>
      <c r="U643">
        <v>1</v>
      </c>
      <c r="V643">
        <v>1</v>
      </c>
      <c r="W643">
        <v>1</v>
      </c>
    </row>
    <row r="644" spans="13:23" x14ac:dyDescent="0.25">
      <c r="M644">
        <v>12</v>
      </c>
      <c r="N644">
        <v>14</v>
      </c>
      <c r="O644">
        <v>1</v>
      </c>
      <c r="P644">
        <v>69</v>
      </c>
      <c r="R644">
        <v>33</v>
      </c>
      <c r="U644">
        <v>1</v>
      </c>
      <c r="V644">
        <v>1</v>
      </c>
      <c r="W644">
        <v>1</v>
      </c>
    </row>
    <row r="645" spans="13:23" x14ac:dyDescent="0.25">
      <c r="M645">
        <v>14</v>
      </c>
      <c r="N645">
        <v>1</v>
      </c>
      <c r="O645">
        <v>1</v>
      </c>
      <c r="P645">
        <v>69</v>
      </c>
      <c r="R645">
        <v>33</v>
      </c>
      <c r="U645">
        <v>1</v>
      </c>
      <c r="V645">
        <v>1</v>
      </c>
      <c r="W645">
        <v>1</v>
      </c>
    </row>
    <row r="646" spans="13:23" x14ac:dyDescent="0.25">
      <c r="M646">
        <v>15</v>
      </c>
      <c r="N646">
        <v>130</v>
      </c>
      <c r="O646">
        <v>1</v>
      </c>
      <c r="P646">
        <v>69</v>
      </c>
      <c r="Q646">
        <v>1</v>
      </c>
      <c r="R646">
        <v>33</v>
      </c>
      <c r="U646">
        <v>1</v>
      </c>
      <c r="V646">
        <v>1</v>
      </c>
      <c r="W646">
        <v>1</v>
      </c>
    </row>
    <row r="647" spans="13:23" x14ac:dyDescent="0.25">
      <c r="M647">
        <v>17</v>
      </c>
      <c r="N647">
        <v>25</v>
      </c>
      <c r="O647">
        <v>1</v>
      </c>
      <c r="P647">
        <v>69</v>
      </c>
      <c r="Q647">
        <v>1</v>
      </c>
      <c r="R647">
        <v>33</v>
      </c>
      <c r="U647">
        <v>1</v>
      </c>
      <c r="V647">
        <v>1</v>
      </c>
      <c r="W647">
        <v>1</v>
      </c>
    </row>
    <row r="648" spans="13:23" x14ac:dyDescent="0.25">
      <c r="M648">
        <v>19</v>
      </c>
      <c r="N648">
        <v>7</v>
      </c>
      <c r="O648">
        <v>1</v>
      </c>
      <c r="P648">
        <v>69</v>
      </c>
      <c r="Q648">
        <v>1</v>
      </c>
      <c r="R648">
        <v>33</v>
      </c>
      <c r="U648">
        <v>1</v>
      </c>
      <c r="V648">
        <v>1</v>
      </c>
      <c r="W648">
        <v>1</v>
      </c>
    </row>
    <row r="649" spans="13:23" x14ac:dyDescent="0.25">
      <c r="M649">
        <v>7</v>
      </c>
      <c r="N649">
        <v>129</v>
      </c>
      <c r="O649">
        <v>1</v>
      </c>
      <c r="P649">
        <v>69</v>
      </c>
      <c r="Q649">
        <v>1</v>
      </c>
      <c r="R649">
        <v>33</v>
      </c>
      <c r="U649">
        <v>1</v>
      </c>
      <c r="V649">
        <v>1</v>
      </c>
      <c r="W649">
        <v>1</v>
      </c>
    </row>
    <row r="650" spans="13:23" x14ac:dyDescent="0.25">
      <c r="M650">
        <v>8</v>
      </c>
      <c r="N650">
        <v>88</v>
      </c>
      <c r="O650">
        <v>1</v>
      </c>
      <c r="P650">
        <v>70</v>
      </c>
      <c r="Q650">
        <v>1</v>
      </c>
      <c r="R650">
        <v>33</v>
      </c>
      <c r="U650">
        <v>1</v>
      </c>
      <c r="V650">
        <v>1</v>
      </c>
      <c r="W650">
        <v>1</v>
      </c>
    </row>
    <row r="651" spans="13:23" x14ac:dyDescent="0.25">
      <c r="M651">
        <v>8</v>
      </c>
      <c r="N651">
        <v>88</v>
      </c>
      <c r="O651">
        <v>1</v>
      </c>
      <c r="P651">
        <v>70</v>
      </c>
      <c r="Q651">
        <v>1</v>
      </c>
      <c r="R651">
        <v>33</v>
      </c>
      <c r="U651">
        <v>1</v>
      </c>
      <c r="V651">
        <v>1</v>
      </c>
      <c r="W651">
        <v>1</v>
      </c>
    </row>
    <row r="652" spans="13:23" x14ac:dyDescent="0.25">
      <c r="M652">
        <v>10</v>
      </c>
      <c r="N652">
        <v>35</v>
      </c>
      <c r="O652">
        <v>1</v>
      </c>
      <c r="P652">
        <v>70</v>
      </c>
      <c r="Q652">
        <v>1</v>
      </c>
      <c r="R652">
        <v>33</v>
      </c>
      <c r="U652">
        <v>1</v>
      </c>
      <c r="V652">
        <v>1</v>
      </c>
      <c r="W652">
        <v>1</v>
      </c>
    </row>
    <row r="653" spans="13:23" x14ac:dyDescent="0.25">
      <c r="M653">
        <v>12</v>
      </c>
      <c r="N653">
        <v>14</v>
      </c>
      <c r="O653">
        <v>1</v>
      </c>
      <c r="P653">
        <v>70</v>
      </c>
      <c r="R653">
        <v>33</v>
      </c>
      <c r="U653">
        <v>1</v>
      </c>
      <c r="V653">
        <v>1</v>
      </c>
      <c r="W653">
        <v>1</v>
      </c>
    </row>
    <row r="654" spans="13:23" x14ac:dyDescent="0.25">
      <c r="M654">
        <v>14</v>
      </c>
      <c r="N654">
        <v>1</v>
      </c>
      <c r="O654">
        <v>1</v>
      </c>
      <c r="P654">
        <v>70</v>
      </c>
      <c r="R654">
        <v>33</v>
      </c>
      <c r="U654">
        <v>1</v>
      </c>
      <c r="V654">
        <v>1</v>
      </c>
      <c r="W654">
        <v>1</v>
      </c>
    </row>
    <row r="655" spans="13:23" x14ac:dyDescent="0.25">
      <c r="M655">
        <v>15</v>
      </c>
      <c r="N655">
        <v>130</v>
      </c>
      <c r="O655">
        <v>1</v>
      </c>
      <c r="P655">
        <v>70</v>
      </c>
      <c r="Q655">
        <v>1</v>
      </c>
      <c r="R655">
        <v>33</v>
      </c>
      <c r="U655">
        <v>1</v>
      </c>
      <c r="V655">
        <v>1</v>
      </c>
      <c r="W655">
        <v>1</v>
      </c>
    </row>
    <row r="656" spans="13:23" x14ac:dyDescent="0.25">
      <c r="M656">
        <v>17</v>
      </c>
      <c r="N656">
        <v>25</v>
      </c>
      <c r="O656">
        <v>1</v>
      </c>
      <c r="P656">
        <v>70</v>
      </c>
      <c r="Q656">
        <v>1</v>
      </c>
      <c r="R656">
        <v>33</v>
      </c>
      <c r="U656">
        <v>1</v>
      </c>
      <c r="V656">
        <v>1</v>
      </c>
      <c r="W656">
        <v>1</v>
      </c>
    </row>
    <row r="657" spans="13:23" x14ac:dyDescent="0.25">
      <c r="M657">
        <v>19</v>
      </c>
      <c r="N657">
        <v>7</v>
      </c>
      <c r="O657">
        <v>1</v>
      </c>
      <c r="P657">
        <v>70</v>
      </c>
      <c r="Q657">
        <v>1</v>
      </c>
      <c r="R657">
        <v>33</v>
      </c>
      <c r="U657">
        <v>1</v>
      </c>
      <c r="V657">
        <v>1</v>
      </c>
      <c r="W657">
        <v>1</v>
      </c>
    </row>
    <row r="658" spans="13:23" x14ac:dyDescent="0.25">
      <c r="M658">
        <v>7</v>
      </c>
      <c r="N658">
        <v>129</v>
      </c>
      <c r="O658">
        <v>1</v>
      </c>
      <c r="P658">
        <v>70</v>
      </c>
      <c r="Q658">
        <v>1</v>
      </c>
      <c r="R658">
        <v>33</v>
      </c>
      <c r="U658">
        <v>1</v>
      </c>
      <c r="V658">
        <v>1</v>
      </c>
      <c r="W658">
        <v>1</v>
      </c>
    </row>
    <row r="659" spans="13:23" x14ac:dyDescent="0.25">
      <c r="M659">
        <v>8</v>
      </c>
      <c r="N659">
        <v>88</v>
      </c>
      <c r="O659">
        <v>1</v>
      </c>
      <c r="P659">
        <v>71</v>
      </c>
      <c r="Q659">
        <v>1</v>
      </c>
      <c r="R659">
        <v>33</v>
      </c>
      <c r="U659">
        <v>1</v>
      </c>
      <c r="V659">
        <v>1</v>
      </c>
      <c r="W659">
        <v>1</v>
      </c>
    </row>
    <row r="660" spans="13:23" x14ac:dyDescent="0.25">
      <c r="M660">
        <v>8</v>
      </c>
      <c r="N660">
        <v>88</v>
      </c>
      <c r="O660">
        <v>1</v>
      </c>
      <c r="P660">
        <v>71</v>
      </c>
      <c r="Q660">
        <v>1</v>
      </c>
      <c r="R660">
        <v>33</v>
      </c>
      <c r="U660">
        <v>1</v>
      </c>
      <c r="V660">
        <v>1</v>
      </c>
      <c r="W660">
        <v>1</v>
      </c>
    </row>
    <row r="661" spans="13:23" x14ac:dyDescent="0.25">
      <c r="M661">
        <v>10</v>
      </c>
      <c r="N661">
        <v>35</v>
      </c>
      <c r="O661">
        <v>1</v>
      </c>
      <c r="P661">
        <v>71</v>
      </c>
      <c r="Q661">
        <v>1</v>
      </c>
      <c r="R661">
        <v>33</v>
      </c>
      <c r="U661">
        <v>1</v>
      </c>
      <c r="V661">
        <v>1</v>
      </c>
      <c r="W661">
        <v>1</v>
      </c>
    </row>
    <row r="662" spans="13:23" x14ac:dyDescent="0.25">
      <c r="M662">
        <v>12</v>
      </c>
      <c r="N662">
        <v>14</v>
      </c>
      <c r="O662">
        <v>1</v>
      </c>
      <c r="P662">
        <v>71</v>
      </c>
      <c r="R662">
        <v>33</v>
      </c>
      <c r="U662">
        <v>1</v>
      </c>
      <c r="V662">
        <v>1</v>
      </c>
      <c r="W662">
        <v>1</v>
      </c>
    </row>
    <row r="663" spans="13:23" x14ac:dyDescent="0.25">
      <c r="M663">
        <v>14</v>
      </c>
      <c r="N663">
        <v>1</v>
      </c>
      <c r="O663">
        <v>1</v>
      </c>
      <c r="P663">
        <v>71</v>
      </c>
      <c r="R663">
        <v>33</v>
      </c>
      <c r="U663">
        <v>1</v>
      </c>
      <c r="V663">
        <v>1</v>
      </c>
      <c r="W663">
        <v>1</v>
      </c>
    </row>
    <row r="664" spans="13:23" x14ac:dyDescent="0.25">
      <c r="M664">
        <v>15</v>
      </c>
      <c r="N664">
        <v>130</v>
      </c>
      <c r="O664">
        <v>1</v>
      </c>
      <c r="P664">
        <v>71</v>
      </c>
      <c r="Q664">
        <v>1</v>
      </c>
      <c r="R664">
        <v>33</v>
      </c>
      <c r="U664">
        <v>1</v>
      </c>
      <c r="V664">
        <v>1</v>
      </c>
      <c r="W664">
        <v>1</v>
      </c>
    </row>
    <row r="665" spans="13:23" x14ac:dyDescent="0.25">
      <c r="M665">
        <v>17</v>
      </c>
      <c r="N665">
        <v>25</v>
      </c>
      <c r="O665">
        <v>1</v>
      </c>
      <c r="P665">
        <v>71</v>
      </c>
      <c r="Q665">
        <v>1</v>
      </c>
      <c r="R665">
        <v>33</v>
      </c>
      <c r="U665">
        <v>1</v>
      </c>
      <c r="V665">
        <v>1</v>
      </c>
      <c r="W665">
        <v>1</v>
      </c>
    </row>
    <row r="666" spans="13:23" x14ac:dyDescent="0.25">
      <c r="M666">
        <v>19</v>
      </c>
      <c r="N666">
        <v>7</v>
      </c>
      <c r="O666">
        <v>1</v>
      </c>
      <c r="P666">
        <v>71</v>
      </c>
      <c r="Q666">
        <v>1</v>
      </c>
      <c r="R666">
        <v>33</v>
      </c>
      <c r="U666">
        <v>1</v>
      </c>
      <c r="V666">
        <v>1</v>
      </c>
      <c r="W666">
        <v>1</v>
      </c>
    </row>
    <row r="667" spans="13:23" x14ac:dyDescent="0.25">
      <c r="M667">
        <v>7</v>
      </c>
      <c r="N667">
        <v>129</v>
      </c>
      <c r="O667">
        <v>1</v>
      </c>
      <c r="P667">
        <v>71</v>
      </c>
      <c r="Q667">
        <v>1</v>
      </c>
      <c r="R667">
        <v>33</v>
      </c>
      <c r="U667">
        <v>1</v>
      </c>
      <c r="V667">
        <v>1</v>
      </c>
      <c r="W667">
        <v>1</v>
      </c>
    </row>
    <row r="668" spans="13:23" x14ac:dyDescent="0.25">
      <c r="M668">
        <v>8</v>
      </c>
      <c r="N668">
        <v>88</v>
      </c>
      <c r="O668">
        <v>1</v>
      </c>
      <c r="P668">
        <v>72</v>
      </c>
      <c r="Q668">
        <v>1</v>
      </c>
      <c r="R668">
        <v>33</v>
      </c>
      <c r="U668">
        <v>1</v>
      </c>
      <c r="V668">
        <v>1</v>
      </c>
      <c r="W668">
        <v>1</v>
      </c>
    </row>
    <row r="669" spans="13:23" x14ac:dyDescent="0.25">
      <c r="M669">
        <v>8</v>
      </c>
      <c r="N669">
        <v>88</v>
      </c>
      <c r="O669">
        <v>1</v>
      </c>
      <c r="P669">
        <v>72</v>
      </c>
      <c r="Q669">
        <v>1</v>
      </c>
      <c r="R669">
        <v>33</v>
      </c>
      <c r="U669">
        <v>1</v>
      </c>
      <c r="V669">
        <v>1</v>
      </c>
      <c r="W669">
        <v>1</v>
      </c>
    </row>
    <row r="670" spans="13:23" x14ac:dyDescent="0.25">
      <c r="M670">
        <v>10</v>
      </c>
      <c r="N670">
        <v>35</v>
      </c>
      <c r="O670">
        <v>1</v>
      </c>
      <c r="P670">
        <v>72</v>
      </c>
      <c r="Q670">
        <v>1</v>
      </c>
      <c r="R670">
        <v>33</v>
      </c>
      <c r="U670">
        <v>1</v>
      </c>
      <c r="V670">
        <v>1</v>
      </c>
      <c r="W670">
        <v>1</v>
      </c>
    </row>
    <row r="671" spans="13:23" x14ac:dyDescent="0.25">
      <c r="M671">
        <v>12</v>
      </c>
      <c r="N671">
        <v>14</v>
      </c>
      <c r="O671">
        <v>1</v>
      </c>
      <c r="P671">
        <v>72</v>
      </c>
      <c r="R671">
        <v>33</v>
      </c>
      <c r="U671">
        <v>1</v>
      </c>
      <c r="V671">
        <v>1</v>
      </c>
      <c r="W671">
        <v>1</v>
      </c>
    </row>
    <row r="672" spans="13:23" x14ac:dyDescent="0.25">
      <c r="M672">
        <v>14</v>
      </c>
      <c r="N672">
        <v>1</v>
      </c>
      <c r="O672">
        <v>1</v>
      </c>
      <c r="P672">
        <v>72</v>
      </c>
      <c r="R672">
        <v>33</v>
      </c>
      <c r="U672">
        <v>1</v>
      </c>
      <c r="V672">
        <v>1</v>
      </c>
      <c r="W672">
        <v>1</v>
      </c>
    </row>
    <row r="673" spans="13:23" x14ac:dyDescent="0.25">
      <c r="M673">
        <v>15</v>
      </c>
      <c r="N673">
        <v>130</v>
      </c>
      <c r="O673">
        <v>1</v>
      </c>
      <c r="P673">
        <v>72</v>
      </c>
      <c r="Q673">
        <v>1</v>
      </c>
      <c r="R673">
        <v>33</v>
      </c>
      <c r="U673">
        <v>1</v>
      </c>
      <c r="V673">
        <v>1</v>
      </c>
      <c r="W673">
        <v>1</v>
      </c>
    </row>
    <row r="674" spans="13:23" x14ac:dyDescent="0.25">
      <c r="M674">
        <v>17</v>
      </c>
      <c r="N674">
        <v>25</v>
      </c>
      <c r="O674">
        <v>1</v>
      </c>
      <c r="P674">
        <v>72</v>
      </c>
      <c r="Q674">
        <v>1</v>
      </c>
      <c r="R674">
        <v>33</v>
      </c>
      <c r="U674">
        <v>1</v>
      </c>
      <c r="V674">
        <v>1</v>
      </c>
      <c r="W674">
        <v>1</v>
      </c>
    </row>
    <row r="675" spans="13:23" x14ac:dyDescent="0.25">
      <c r="M675">
        <v>19</v>
      </c>
      <c r="N675">
        <v>7</v>
      </c>
      <c r="O675">
        <v>1</v>
      </c>
      <c r="P675">
        <v>72</v>
      </c>
      <c r="Q675">
        <v>1</v>
      </c>
      <c r="R675">
        <v>33</v>
      </c>
      <c r="U675">
        <v>1</v>
      </c>
      <c r="V675">
        <v>1</v>
      </c>
      <c r="W675">
        <v>1</v>
      </c>
    </row>
    <row r="676" spans="13:23" x14ac:dyDescent="0.25">
      <c r="M676">
        <v>7</v>
      </c>
      <c r="N676">
        <v>129</v>
      </c>
      <c r="O676">
        <v>1</v>
      </c>
      <c r="P676">
        <v>72</v>
      </c>
      <c r="Q676">
        <v>1</v>
      </c>
      <c r="R676">
        <v>33</v>
      </c>
      <c r="U676">
        <v>1</v>
      </c>
      <c r="V676">
        <v>1</v>
      </c>
      <c r="W676">
        <v>1</v>
      </c>
    </row>
    <row r="677" spans="13:23" x14ac:dyDescent="0.25">
      <c r="M677">
        <v>8</v>
      </c>
      <c r="N677">
        <v>88</v>
      </c>
      <c r="O677">
        <v>1</v>
      </c>
      <c r="P677">
        <v>73</v>
      </c>
      <c r="Q677">
        <v>1</v>
      </c>
      <c r="R677">
        <v>33</v>
      </c>
      <c r="U677">
        <v>1</v>
      </c>
      <c r="V677">
        <v>1</v>
      </c>
      <c r="W677">
        <v>1</v>
      </c>
    </row>
    <row r="678" spans="13:23" x14ac:dyDescent="0.25">
      <c r="M678">
        <v>8</v>
      </c>
      <c r="N678">
        <v>88</v>
      </c>
      <c r="O678">
        <v>1</v>
      </c>
      <c r="P678">
        <v>73</v>
      </c>
      <c r="Q678">
        <v>1</v>
      </c>
      <c r="R678">
        <v>33</v>
      </c>
      <c r="U678">
        <v>1</v>
      </c>
      <c r="V678">
        <v>1</v>
      </c>
      <c r="W678">
        <v>1</v>
      </c>
    </row>
    <row r="679" spans="13:23" x14ac:dyDescent="0.25">
      <c r="M679">
        <v>10</v>
      </c>
      <c r="N679">
        <v>35</v>
      </c>
      <c r="O679">
        <v>1</v>
      </c>
      <c r="P679">
        <v>73</v>
      </c>
      <c r="Q679">
        <v>1</v>
      </c>
      <c r="R679">
        <v>33</v>
      </c>
      <c r="U679">
        <v>1</v>
      </c>
      <c r="V679">
        <v>1</v>
      </c>
      <c r="W679">
        <v>1</v>
      </c>
    </row>
    <row r="680" spans="13:23" x14ac:dyDescent="0.25">
      <c r="M680">
        <v>12</v>
      </c>
      <c r="N680">
        <v>14</v>
      </c>
      <c r="O680">
        <v>1</v>
      </c>
      <c r="P680">
        <v>73</v>
      </c>
      <c r="R680">
        <v>33</v>
      </c>
      <c r="U680">
        <v>1</v>
      </c>
      <c r="V680">
        <v>1</v>
      </c>
      <c r="W680">
        <v>1</v>
      </c>
    </row>
    <row r="681" spans="13:23" x14ac:dyDescent="0.25">
      <c r="M681">
        <v>14</v>
      </c>
      <c r="N681">
        <v>1</v>
      </c>
      <c r="O681">
        <v>1</v>
      </c>
      <c r="P681">
        <v>73</v>
      </c>
      <c r="R681">
        <v>33</v>
      </c>
      <c r="U681">
        <v>1</v>
      </c>
      <c r="V681">
        <v>1</v>
      </c>
      <c r="W681">
        <v>1</v>
      </c>
    </row>
    <row r="682" spans="13:23" x14ac:dyDescent="0.25">
      <c r="M682">
        <v>15</v>
      </c>
      <c r="N682">
        <v>130</v>
      </c>
      <c r="O682">
        <v>1</v>
      </c>
      <c r="P682">
        <v>73</v>
      </c>
      <c r="Q682">
        <v>1</v>
      </c>
      <c r="R682">
        <v>33</v>
      </c>
      <c r="U682">
        <v>1</v>
      </c>
      <c r="V682">
        <v>1</v>
      </c>
      <c r="W682">
        <v>1</v>
      </c>
    </row>
    <row r="683" spans="13:23" x14ac:dyDescent="0.25">
      <c r="M683">
        <v>17</v>
      </c>
      <c r="N683">
        <v>25</v>
      </c>
      <c r="O683">
        <v>1</v>
      </c>
      <c r="P683">
        <v>73</v>
      </c>
      <c r="Q683">
        <v>1</v>
      </c>
      <c r="R683">
        <v>33</v>
      </c>
      <c r="U683">
        <v>1</v>
      </c>
      <c r="V683">
        <v>1</v>
      </c>
      <c r="W683">
        <v>1</v>
      </c>
    </row>
    <row r="684" spans="13:23" x14ac:dyDescent="0.25">
      <c r="M684">
        <v>19</v>
      </c>
      <c r="N684">
        <v>7</v>
      </c>
      <c r="O684">
        <v>1</v>
      </c>
      <c r="P684">
        <v>73</v>
      </c>
      <c r="Q684">
        <v>1</v>
      </c>
      <c r="R684">
        <v>33</v>
      </c>
      <c r="U684">
        <v>1</v>
      </c>
      <c r="V684">
        <v>1</v>
      </c>
      <c r="W684">
        <v>1</v>
      </c>
    </row>
    <row r="685" spans="13:23" x14ac:dyDescent="0.25">
      <c r="M685">
        <v>7</v>
      </c>
      <c r="N685">
        <v>129</v>
      </c>
      <c r="O685">
        <v>1</v>
      </c>
      <c r="P685">
        <v>73</v>
      </c>
      <c r="Q685">
        <v>1</v>
      </c>
      <c r="R685">
        <v>33</v>
      </c>
      <c r="U685">
        <v>1</v>
      </c>
      <c r="V685">
        <v>1</v>
      </c>
      <c r="W685">
        <v>1</v>
      </c>
    </row>
    <row r="686" spans="13:23" x14ac:dyDescent="0.25">
      <c r="M686">
        <v>8</v>
      </c>
      <c r="N686">
        <v>88</v>
      </c>
      <c r="O686">
        <v>1</v>
      </c>
      <c r="P686">
        <v>74</v>
      </c>
      <c r="Q686">
        <v>1</v>
      </c>
      <c r="R686">
        <v>33</v>
      </c>
      <c r="U686">
        <v>1</v>
      </c>
      <c r="V686">
        <v>1</v>
      </c>
      <c r="W686">
        <v>1</v>
      </c>
    </row>
    <row r="687" spans="13:23" x14ac:dyDescent="0.25">
      <c r="M687">
        <v>8</v>
      </c>
      <c r="N687">
        <v>88</v>
      </c>
      <c r="O687">
        <v>1</v>
      </c>
      <c r="P687">
        <v>74</v>
      </c>
      <c r="Q687">
        <v>1</v>
      </c>
      <c r="R687">
        <v>33</v>
      </c>
      <c r="U687">
        <v>1</v>
      </c>
      <c r="V687">
        <v>1</v>
      </c>
      <c r="W687">
        <v>1</v>
      </c>
    </row>
    <row r="688" spans="13:23" x14ac:dyDescent="0.25">
      <c r="M688">
        <v>10</v>
      </c>
      <c r="N688">
        <v>35</v>
      </c>
      <c r="O688">
        <v>1</v>
      </c>
      <c r="P688">
        <v>74</v>
      </c>
      <c r="Q688">
        <v>1</v>
      </c>
      <c r="R688">
        <v>33</v>
      </c>
      <c r="U688">
        <v>1</v>
      </c>
      <c r="V688">
        <v>1</v>
      </c>
      <c r="W688">
        <v>1</v>
      </c>
    </row>
    <row r="689" spans="13:23" x14ac:dyDescent="0.25">
      <c r="M689">
        <v>12</v>
      </c>
      <c r="N689">
        <v>14</v>
      </c>
      <c r="O689">
        <v>1</v>
      </c>
      <c r="P689">
        <v>74</v>
      </c>
      <c r="R689">
        <v>33</v>
      </c>
      <c r="U689">
        <v>1</v>
      </c>
      <c r="V689">
        <v>1</v>
      </c>
      <c r="W689">
        <v>1</v>
      </c>
    </row>
    <row r="690" spans="13:23" x14ac:dyDescent="0.25">
      <c r="M690">
        <v>14</v>
      </c>
      <c r="N690">
        <v>1</v>
      </c>
      <c r="O690">
        <v>1</v>
      </c>
      <c r="P690">
        <v>74</v>
      </c>
      <c r="R690">
        <v>33</v>
      </c>
      <c r="U690">
        <v>1</v>
      </c>
      <c r="V690">
        <v>1</v>
      </c>
      <c r="W690">
        <v>1</v>
      </c>
    </row>
    <row r="691" spans="13:23" x14ac:dyDescent="0.25">
      <c r="M691">
        <v>15</v>
      </c>
      <c r="N691">
        <v>130</v>
      </c>
      <c r="O691">
        <v>1</v>
      </c>
      <c r="P691">
        <v>74</v>
      </c>
      <c r="Q691">
        <v>1</v>
      </c>
      <c r="R691">
        <v>33</v>
      </c>
      <c r="U691">
        <v>1</v>
      </c>
      <c r="V691">
        <v>1</v>
      </c>
      <c r="W691">
        <v>1</v>
      </c>
    </row>
    <row r="692" spans="13:23" x14ac:dyDescent="0.25">
      <c r="M692">
        <v>17</v>
      </c>
      <c r="N692">
        <v>25</v>
      </c>
      <c r="O692">
        <v>1</v>
      </c>
      <c r="P692">
        <v>74</v>
      </c>
      <c r="Q692">
        <v>1</v>
      </c>
      <c r="R692">
        <v>33</v>
      </c>
      <c r="U692">
        <v>1</v>
      </c>
      <c r="V692">
        <v>1</v>
      </c>
      <c r="W692">
        <v>1</v>
      </c>
    </row>
    <row r="693" spans="13:23" x14ac:dyDescent="0.25">
      <c r="M693">
        <v>19</v>
      </c>
      <c r="N693">
        <v>7</v>
      </c>
      <c r="O693">
        <v>1</v>
      </c>
      <c r="P693">
        <v>74</v>
      </c>
      <c r="Q693">
        <v>1</v>
      </c>
      <c r="R693">
        <v>33</v>
      </c>
      <c r="U693">
        <v>1</v>
      </c>
      <c r="V693">
        <v>1</v>
      </c>
      <c r="W693">
        <v>1</v>
      </c>
    </row>
    <row r="694" spans="13:23" x14ac:dyDescent="0.25">
      <c r="M694">
        <v>7</v>
      </c>
      <c r="N694">
        <v>129</v>
      </c>
      <c r="O694">
        <v>1</v>
      </c>
      <c r="P694">
        <v>74</v>
      </c>
      <c r="Q694">
        <v>1</v>
      </c>
      <c r="R694">
        <v>33</v>
      </c>
      <c r="U694">
        <v>1</v>
      </c>
      <c r="V694">
        <v>1</v>
      </c>
      <c r="W694">
        <v>1</v>
      </c>
    </row>
    <row r="695" spans="13:23" x14ac:dyDescent="0.25">
      <c r="M695">
        <v>8</v>
      </c>
      <c r="N695">
        <v>88</v>
      </c>
      <c r="O695">
        <v>1</v>
      </c>
      <c r="P695">
        <v>75</v>
      </c>
      <c r="Q695">
        <v>1</v>
      </c>
      <c r="R695">
        <v>33</v>
      </c>
      <c r="U695">
        <v>1</v>
      </c>
      <c r="V695">
        <v>1</v>
      </c>
      <c r="W695">
        <v>1</v>
      </c>
    </row>
    <row r="696" spans="13:23" x14ac:dyDescent="0.25">
      <c r="M696">
        <v>8</v>
      </c>
      <c r="N696">
        <v>88</v>
      </c>
      <c r="O696">
        <v>1</v>
      </c>
      <c r="P696">
        <v>75</v>
      </c>
      <c r="Q696">
        <v>1</v>
      </c>
      <c r="R696">
        <v>33</v>
      </c>
      <c r="U696">
        <v>1</v>
      </c>
      <c r="V696">
        <v>1</v>
      </c>
      <c r="W696">
        <v>1</v>
      </c>
    </row>
    <row r="697" spans="13:23" x14ac:dyDescent="0.25">
      <c r="M697">
        <v>10</v>
      </c>
      <c r="N697">
        <v>35</v>
      </c>
      <c r="O697">
        <v>1</v>
      </c>
      <c r="P697">
        <v>75</v>
      </c>
      <c r="Q697">
        <v>1</v>
      </c>
      <c r="R697">
        <v>33</v>
      </c>
      <c r="U697">
        <v>1</v>
      </c>
      <c r="V697">
        <v>1</v>
      </c>
      <c r="W697">
        <v>1</v>
      </c>
    </row>
    <row r="698" spans="13:23" x14ac:dyDescent="0.25">
      <c r="M698">
        <v>12</v>
      </c>
      <c r="N698">
        <v>14</v>
      </c>
      <c r="O698">
        <v>1</v>
      </c>
      <c r="P698">
        <v>75</v>
      </c>
      <c r="R698">
        <v>33</v>
      </c>
      <c r="U698">
        <v>1</v>
      </c>
      <c r="V698">
        <v>1</v>
      </c>
      <c r="W698">
        <v>1</v>
      </c>
    </row>
    <row r="699" spans="13:23" x14ac:dyDescent="0.25">
      <c r="M699">
        <v>14</v>
      </c>
      <c r="N699">
        <v>1</v>
      </c>
      <c r="O699">
        <v>1</v>
      </c>
      <c r="P699">
        <v>75</v>
      </c>
      <c r="R699">
        <v>33</v>
      </c>
      <c r="U699">
        <v>1</v>
      </c>
      <c r="V699">
        <v>1</v>
      </c>
      <c r="W699">
        <v>1</v>
      </c>
    </row>
    <row r="700" spans="13:23" x14ac:dyDescent="0.25">
      <c r="M700">
        <v>15</v>
      </c>
      <c r="N700">
        <v>130</v>
      </c>
      <c r="O700">
        <v>1</v>
      </c>
      <c r="P700">
        <v>75</v>
      </c>
      <c r="Q700">
        <v>1</v>
      </c>
      <c r="R700">
        <v>33</v>
      </c>
      <c r="U700">
        <v>1</v>
      </c>
      <c r="V700">
        <v>1</v>
      </c>
      <c r="W700">
        <v>1</v>
      </c>
    </row>
    <row r="701" spans="13:23" x14ac:dyDescent="0.25">
      <c r="M701">
        <v>17</v>
      </c>
      <c r="N701">
        <v>25</v>
      </c>
      <c r="O701">
        <v>1</v>
      </c>
      <c r="P701">
        <v>75</v>
      </c>
      <c r="Q701">
        <v>1</v>
      </c>
      <c r="R701">
        <v>33</v>
      </c>
      <c r="U701">
        <v>1</v>
      </c>
      <c r="V701">
        <v>1</v>
      </c>
      <c r="W701">
        <v>1</v>
      </c>
    </row>
    <row r="702" spans="13:23" x14ac:dyDescent="0.25">
      <c r="M702">
        <v>19</v>
      </c>
      <c r="N702">
        <v>7</v>
      </c>
      <c r="O702">
        <v>1</v>
      </c>
      <c r="P702">
        <v>75</v>
      </c>
      <c r="Q702">
        <v>1</v>
      </c>
      <c r="R702">
        <v>33</v>
      </c>
      <c r="U702">
        <v>1</v>
      </c>
      <c r="V702">
        <v>1</v>
      </c>
      <c r="W702">
        <v>1</v>
      </c>
    </row>
    <row r="703" spans="13:23" x14ac:dyDescent="0.25">
      <c r="M703">
        <v>7</v>
      </c>
      <c r="N703">
        <v>129</v>
      </c>
      <c r="O703">
        <v>1</v>
      </c>
      <c r="P703">
        <v>75</v>
      </c>
      <c r="Q703">
        <v>1</v>
      </c>
      <c r="R703">
        <v>33</v>
      </c>
      <c r="U703">
        <v>1</v>
      </c>
      <c r="V703">
        <v>1</v>
      </c>
      <c r="W703">
        <v>1</v>
      </c>
    </row>
    <row r="704" spans="13:23" x14ac:dyDescent="0.25">
      <c r="M704">
        <v>8</v>
      </c>
      <c r="N704">
        <v>88</v>
      </c>
      <c r="O704">
        <v>1</v>
      </c>
      <c r="P704">
        <v>76</v>
      </c>
      <c r="Q704">
        <v>1</v>
      </c>
      <c r="R704">
        <v>33</v>
      </c>
      <c r="U704">
        <v>1</v>
      </c>
      <c r="V704">
        <v>1</v>
      </c>
      <c r="W704">
        <v>1</v>
      </c>
    </row>
    <row r="705" spans="13:23" x14ac:dyDescent="0.25">
      <c r="M705">
        <v>8</v>
      </c>
      <c r="N705">
        <v>88</v>
      </c>
      <c r="O705">
        <v>1</v>
      </c>
      <c r="P705">
        <v>76</v>
      </c>
      <c r="Q705">
        <v>1</v>
      </c>
      <c r="R705">
        <v>33</v>
      </c>
      <c r="U705">
        <v>1</v>
      </c>
      <c r="V705">
        <v>1</v>
      </c>
      <c r="W705">
        <v>1</v>
      </c>
    </row>
    <row r="706" spans="13:23" x14ac:dyDescent="0.25">
      <c r="M706">
        <v>10</v>
      </c>
      <c r="N706">
        <v>35</v>
      </c>
      <c r="O706">
        <v>1</v>
      </c>
      <c r="P706">
        <v>76</v>
      </c>
      <c r="Q706">
        <v>1</v>
      </c>
      <c r="R706">
        <v>33</v>
      </c>
      <c r="U706">
        <v>1</v>
      </c>
      <c r="V706">
        <v>1</v>
      </c>
      <c r="W706">
        <v>1</v>
      </c>
    </row>
    <row r="707" spans="13:23" x14ac:dyDescent="0.25">
      <c r="M707">
        <v>12</v>
      </c>
      <c r="N707">
        <v>14</v>
      </c>
      <c r="O707">
        <v>1</v>
      </c>
      <c r="P707">
        <v>76</v>
      </c>
      <c r="R707">
        <v>33</v>
      </c>
      <c r="U707">
        <v>1</v>
      </c>
      <c r="V707">
        <v>1</v>
      </c>
      <c r="W707">
        <v>1</v>
      </c>
    </row>
    <row r="708" spans="13:23" x14ac:dyDescent="0.25">
      <c r="M708">
        <v>14</v>
      </c>
      <c r="N708">
        <v>1</v>
      </c>
      <c r="O708">
        <v>1</v>
      </c>
      <c r="P708">
        <v>76</v>
      </c>
      <c r="R708">
        <v>33</v>
      </c>
      <c r="U708">
        <v>1</v>
      </c>
      <c r="V708">
        <v>1</v>
      </c>
      <c r="W708">
        <v>1</v>
      </c>
    </row>
    <row r="709" spans="13:23" x14ac:dyDescent="0.25">
      <c r="M709">
        <v>15</v>
      </c>
      <c r="N709">
        <v>130</v>
      </c>
      <c r="O709">
        <v>1</v>
      </c>
      <c r="P709">
        <v>76</v>
      </c>
      <c r="Q709">
        <v>1</v>
      </c>
      <c r="R709">
        <v>33</v>
      </c>
      <c r="U709">
        <v>1</v>
      </c>
      <c r="V709">
        <v>1</v>
      </c>
      <c r="W709">
        <v>1</v>
      </c>
    </row>
    <row r="710" spans="13:23" x14ac:dyDescent="0.25">
      <c r="M710">
        <v>17</v>
      </c>
      <c r="N710">
        <v>25</v>
      </c>
      <c r="O710">
        <v>1</v>
      </c>
      <c r="P710">
        <v>76</v>
      </c>
      <c r="Q710">
        <v>1</v>
      </c>
      <c r="R710">
        <v>33</v>
      </c>
      <c r="U710">
        <v>1</v>
      </c>
      <c r="V710">
        <v>1</v>
      </c>
      <c r="W710">
        <v>1</v>
      </c>
    </row>
    <row r="711" spans="13:23" x14ac:dyDescent="0.25">
      <c r="M711">
        <v>19</v>
      </c>
      <c r="N711">
        <v>7</v>
      </c>
      <c r="O711">
        <v>1</v>
      </c>
      <c r="P711">
        <v>76</v>
      </c>
      <c r="Q711">
        <v>1</v>
      </c>
      <c r="R711">
        <v>33</v>
      </c>
      <c r="U711">
        <v>1</v>
      </c>
      <c r="V711">
        <v>1</v>
      </c>
      <c r="W711">
        <v>1</v>
      </c>
    </row>
    <row r="712" spans="13:23" x14ac:dyDescent="0.25">
      <c r="M712">
        <v>7</v>
      </c>
      <c r="N712">
        <v>129</v>
      </c>
      <c r="O712">
        <v>1</v>
      </c>
      <c r="P712">
        <v>76</v>
      </c>
      <c r="Q712">
        <v>1</v>
      </c>
      <c r="R712">
        <v>33</v>
      </c>
      <c r="U712">
        <v>1</v>
      </c>
      <c r="V712">
        <v>1</v>
      </c>
      <c r="W712">
        <v>1</v>
      </c>
    </row>
    <row r="713" spans="13:23" x14ac:dyDescent="0.25">
      <c r="M713">
        <v>8</v>
      </c>
      <c r="N713">
        <v>88</v>
      </c>
      <c r="O713">
        <v>1</v>
      </c>
      <c r="P713">
        <v>77</v>
      </c>
      <c r="Q713">
        <v>1</v>
      </c>
      <c r="R713">
        <v>33</v>
      </c>
      <c r="U713">
        <v>1</v>
      </c>
      <c r="V713">
        <v>1</v>
      </c>
      <c r="W713">
        <v>1</v>
      </c>
    </row>
    <row r="714" spans="13:23" x14ac:dyDescent="0.25">
      <c r="M714">
        <v>8</v>
      </c>
      <c r="N714">
        <v>88</v>
      </c>
      <c r="O714">
        <v>1</v>
      </c>
      <c r="P714">
        <v>77</v>
      </c>
      <c r="Q714">
        <v>1</v>
      </c>
      <c r="R714">
        <v>33</v>
      </c>
      <c r="U714">
        <v>1</v>
      </c>
      <c r="V714">
        <v>1</v>
      </c>
      <c r="W714">
        <v>1</v>
      </c>
    </row>
    <row r="715" spans="13:23" x14ac:dyDescent="0.25">
      <c r="M715">
        <v>10</v>
      </c>
      <c r="N715">
        <v>35</v>
      </c>
      <c r="O715">
        <v>1</v>
      </c>
      <c r="P715">
        <v>77</v>
      </c>
      <c r="Q715">
        <v>1</v>
      </c>
      <c r="R715">
        <v>33</v>
      </c>
      <c r="U715">
        <v>1</v>
      </c>
      <c r="V715">
        <v>1</v>
      </c>
      <c r="W715">
        <v>1</v>
      </c>
    </row>
    <row r="716" spans="13:23" x14ac:dyDescent="0.25">
      <c r="M716">
        <v>12</v>
      </c>
      <c r="N716">
        <v>14</v>
      </c>
      <c r="O716">
        <v>1</v>
      </c>
      <c r="P716">
        <v>77</v>
      </c>
      <c r="R716">
        <v>33</v>
      </c>
      <c r="U716">
        <v>1</v>
      </c>
      <c r="V716">
        <v>1</v>
      </c>
      <c r="W716">
        <v>1</v>
      </c>
    </row>
    <row r="717" spans="13:23" x14ac:dyDescent="0.25">
      <c r="M717">
        <v>14</v>
      </c>
      <c r="N717">
        <v>1</v>
      </c>
      <c r="O717">
        <v>1</v>
      </c>
      <c r="P717">
        <v>77</v>
      </c>
      <c r="R717">
        <v>33</v>
      </c>
      <c r="U717">
        <v>1</v>
      </c>
      <c r="V717">
        <v>1</v>
      </c>
      <c r="W717">
        <v>1</v>
      </c>
    </row>
    <row r="718" spans="13:23" x14ac:dyDescent="0.25">
      <c r="M718">
        <v>15</v>
      </c>
      <c r="N718">
        <v>130</v>
      </c>
      <c r="O718">
        <v>1</v>
      </c>
      <c r="P718">
        <v>77</v>
      </c>
      <c r="Q718">
        <v>1</v>
      </c>
      <c r="R718">
        <v>33</v>
      </c>
      <c r="U718">
        <v>1</v>
      </c>
      <c r="V718">
        <v>1</v>
      </c>
      <c r="W718">
        <v>1</v>
      </c>
    </row>
    <row r="719" spans="13:23" x14ac:dyDescent="0.25">
      <c r="M719">
        <v>17</v>
      </c>
      <c r="N719">
        <v>25</v>
      </c>
      <c r="O719">
        <v>1</v>
      </c>
      <c r="P719">
        <v>77</v>
      </c>
      <c r="Q719">
        <v>1</v>
      </c>
      <c r="R719">
        <v>33</v>
      </c>
      <c r="U719">
        <v>1</v>
      </c>
      <c r="V719">
        <v>1</v>
      </c>
      <c r="W719">
        <v>1</v>
      </c>
    </row>
    <row r="720" spans="13:23" x14ac:dyDescent="0.25">
      <c r="M720">
        <v>19</v>
      </c>
      <c r="N720">
        <v>7</v>
      </c>
      <c r="O720">
        <v>1</v>
      </c>
      <c r="P720">
        <v>77</v>
      </c>
      <c r="Q720">
        <v>1</v>
      </c>
      <c r="R720">
        <v>33</v>
      </c>
      <c r="U720">
        <v>1</v>
      </c>
      <c r="V720">
        <v>1</v>
      </c>
      <c r="W720">
        <v>1</v>
      </c>
    </row>
    <row r="721" spans="13:23" x14ac:dyDescent="0.25">
      <c r="M721">
        <v>7</v>
      </c>
      <c r="N721">
        <v>129</v>
      </c>
      <c r="O721">
        <v>1</v>
      </c>
      <c r="P721">
        <v>77</v>
      </c>
      <c r="Q721">
        <v>1</v>
      </c>
      <c r="R721">
        <v>33</v>
      </c>
      <c r="U721">
        <v>1</v>
      </c>
      <c r="V721">
        <v>1</v>
      </c>
      <c r="W721">
        <v>1</v>
      </c>
    </row>
    <row r="722" spans="13:23" x14ac:dyDescent="0.25">
      <c r="M722">
        <v>8</v>
      </c>
      <c r="N722">
        <v>88</v>
      </c>
      <c r="O722">
        <v>1</v>
      </c>
      <c r="P722">
        <v>78</v>
      </c>
      <c r="Q722">
        <v>1</v>
      </c>
      <c r="R722">
        <v>33</v>
      </c>
      <c r="U722">
        <v>1</v>
      </c>
      <c r="V722">
        <v>1</v>
      </c>
      <c r="W722">
        <v>1</v>
      </c>
    </row>
    <row r="723" spans="13:23" x14ac:dyDescent="0.25">
      <c r="M723">
        <v>8</v>
      </c>
      <c r="N723">
        <v>88</v>
      </c>
      <c r="O723">
        <v>1</v>
      </c>
      <c r="P723">
        <v>78</v>
      </c>
      <c r="Q723">
        <v>1</v>
      </c>
      <c r="R723">
        <v>33</v>
      </c>
      <c r="U723">
        <v>1</v>
      </c>
      <c r="V723">
        <v>1</v>
      </c>
      <c r="W723">
        <v>1</v>
      </c>
    </row>
    <row r="724" spans="13:23" x14ac:dyDescent="0.25">
      <c r="M724">
        <v>10</v>
      </c>
      <c r="N724">
        <v>35</v>
      </c>
      <c r="O724">
        <v>1</v>
      </c>
      <c r="P724">
        <v>78</v>
      </c>
      <c r="Q724">
        <v>1</v>
      </c>
      <c r="R724">
        <v>33</v>
      </c>
      <c r="U724">
        <v>1</v>
      </c>
      <c r="V724">
        <v>1</v>
      </c>
      <c r="W724">
        <v>1</v>
      </c>
    </row>
    <row r="725" spans="13:23" x14ac:dyDescent="0.25">
      <c r="M725">
        <v>12</v>
      </c>
      <c r="N725">
        <v>14</v>
      </c>
      <c r="O725">
        <v>1</v>
      </c>
      <c r="P725">
        <v>78</v>
      </c>
      <c r="R725">
        <v>33</v>
      </c>
      <c r="U725">
        <v>1</v>
      </c>
      <c r="V725">
        <v>1</v>
      </c>
      <c r="W725">
        <v>1</v>
      </c>
    </row>
    <row r="726" spans="13:23" x14ac:dyDescent="0.25">
      <c r="M726">
        <v>14</v>
      </c>
      <c r="N726">
        <v>1</v>
      </c>
      <c r="O726">
        <v>1</v>
      </c>
      <c r="P726">
        <v>78</v>
      </c>
      <c r="R726">
        <v>33</v>
      </c>
      <c r="U726">
        <v>1</v>
      </c>
      <c r="V726">
        <v>1</v>
      </c>
      <c r="W726">
        <v>1</v>
      </c>
    </row>
    <row r="727" spans="13:23" x14ac:dyDescent="0.25">
      <c r="M727">
        <v>15</v>
      </c>
      <c r="N727">
        <v>130</v>
      </c>
      <c r="O727">
        <v>1</v>
      </c>
      <c r="P727">
        <v>78</v>
      </c>
      <c r="Q727">
        <v>1</v>
      </c>
      <c r="R727">
        <v>33</v>
      </c>
      <c r="U727">
        <v>1</v>
      </c>
      <c r="V727">
        <v>1</v>
      </c>
      <c r="W727">
        <v>1</v>
      </c>
    </row>
    <row r="728" spans="13:23" x14ac:dyDescent="0.25">
      <c r="M728">
        <v>17</v>
      </c>
      <c r="N728">
        <v>25</v>
      </c>
      <c r="O728">
        <v>1</v>
      </c>
      <c r="P728">
        <v>78</v>
      </c>
      <c r="Q728">
        <v>1</v>
      </c>
      <c r="R728">
        <v>33</v>
      </c>
      <c r="U728">
        <v>1</v>
      </c>
      <c r="V728">
        <v>1</v>
      </c>
      <c r="W728">
        <v>1</v>
      </c>
    </row>
    <row r="729" spans="13:23" x14ac:dyDescent="0.25">
      <c r="M729">
        <v>19</v>
      </c>
      <c r="N729">
        <v>7</v>
      </c>
      <c r="O729">
        <v>1</v>
      </c>
      <c r="P729">
        <v>78</v>
      </c>
      <c r="Q729">
        <v>1</v>
      </c>
      <c r="R729">
        <v>33</v>
      </c>
      <c r="U729">
        <v>1</v>
      </c>
      <c r="V729">
        <v>1</v>
      </c>
      <c r="W729">
        <v>1</v>
      </c>
    </row>
    <row r="730" spans="13:23" x14ac:dyDescent="0.25">
      <c r="M730">
        <v>7</v>
      </c>
      <c r="N730">
        <v>129</v>
      </c>
      <c r="O730">
        <v>1</v>
      </c>
      <c r="P730">
        <v>78</v>
      </c>
      <c r="Q730">
        <v>1</v>
      </c>
      <c r="R730">
        <v>33</v>
      </c>
      <c r="U730">
        <v>1</v>
      </c>
      <c r="V730">
        <v>1</v>
      </c>
      <c r="W730">
        <v>1</v>
      </c>
    </row>
    <row r="731" spans="13:23" x14ac:dyDescent="0.25">
      <c r="M731">
        <v>8</v>
      </c>
      <c r="N731">
        <v>88</v>
      </c>
      <c r="O731">
        <v>1</v>
      </c>
      <c r="P731">
        <v>79</v>
      </c>
      <c r="Q731">
        <v>1</v>
      </c>
      <c r="R731">
        <v>33</v>
      </c>
      <c r="U731">
        <v>1</v>
      </c>
      <c r="V731">
        <v>1</v>
      </c>
      <c r="W731">
        <v>1</v>
      </c>
    </row>
    <row r="732" spans="13:23" x14ac:dyDescent="0.25">
      <c r="M732">
        <v>8</v>
      </c>
      <c r="N732">
        <v>88</v>
      </c>
      <c r="O732">
        <v>1</v>
      </c>
      <c r="P732">
        <v>79</v>
      </c>
      <c r="Q732">
        <v>1</v>
      </c>
      <c r="R732">
        <v>33</v>
      </c>
      <c r="U732">
        <v>1</v>
      </c>
      <c r="V732">
        <v>1</v>
      </c>
      <c r="W732">
        <v>1</v>
      </c>
    </row>
    <row r="733" spans="13:23" x14ac:dyDescent="0.25">
      <c r="M733">
        <v>10</v>
      </c>
      <c r="N733">
        <v>35</v>
      </c>
      <c r="O733">
        <v>1</v>
      </c>
      <c r="P733">
        <v>79</v>
      </c>
      <c r="Q733">
        <v>1</v>
      </c>
      <c r="R733">
        <v>33</v>
      </c>
      <c r="U733">
        <v>1</v>
      </c>
      <c r="V733">
        <v>1</v>
      </c>
      <c r="W733">
        <v>1</v>
      </c>
    </row>
    <row r="734" spans="13:23" x14ac:dyDescent="0.25">
      <c r="M734">
        <v>12</v>
      </c>
      <c r="N734">
        <v>14</v>
      </c>
      <c r="O734">
        <v>1</v>
      </c>
      <c r="P734">
        <v>79</v>
      </c>
      <c r="R734">
        <v>33</v>
      </c>
      <c r="U734">
        <v>1</v>
      </c>
      <c r="V734">
        <v>1</v>
      </c>
      <c r="W734">
        <v>1</v>
      </c>
    </row>
    <row r="735" spans="13:23" x14ac:dyDescent="0.25">
      <c r="M735">
        <v>14</v>
      </c>
      <c r="N735">
        <v>1</v>
      </c>
      <c r="O735">
        <v>1</v>
      </c>
      <c r="P735">
        <v>79</v>
      </c>
      <c r="R735">
        <v>33</v>
      </c>
      <c r="U735">
        <v>1</v>
      </c>
      <c r="V735">
        <v>1</v>
      </c>
      <c r="W735">
        <v>1</v>
      </c>
    </row>
    <row r="736" spans="13:23" x14ac:dyDescent="0.25">
      <c r="M736">
        <v>15</v>
      </c>
      <c r="N736">
        <v>130</v>
      </c>
      <c r="O736">
        <v>1</v>
      </c>
      <c r="P736">
        <v>79</v>
      </c>
      <c r="Q736">
        <v>1</v>
      </c>
      <c r="R736">
        <v>33</v>
      </c>
      <c r="U736">
        <v>1</v>
      </c>
      <c r="V736">
        <v>1</v>
      </c>
      <c r="W736">
        <v>1</v>
      </c>
    </row>
    <row r="737" spans="13:23" x14ac:dyDescent="0.25">
      <c r="M737">
        <v>17</v>
      </c>
      <c r="N737">
        <v>25</v>
      </c>
      <c r="O737">
        <v>1</v>
      </c>
      <c r="P737">
        <v>79</v>
      </c>
      <c r="Q737">
        <v>1</v>
      </c>
      <c r="R737">
        <v>33</v>
      </c>
      <c r="U737">
        <v>1</v>
      </c>
      <c r="V737">
        <v>1</v>
      </c>
      <c r="W737">
        <v>1</v>
      </c>
    </row>
    <row r="738" spans="13:23" x14ac:dyDescent="0.25">
      <c r="M738">
        <v>19</v>
      </c>
      <c r="N738">
        <v>7</v>
      </c>
      <c r="O738">
        <v>1</v>
      </c>
      <c r="P738">
        <v>79</v>
      </c>
      <c r="Q738">
        <v>1</v>
      </c>
      <c r="R738">
        <v>33</v>
      </c>
      <c r="U738">
        <v>1</v>
      </c>
      <c r="V738">
        <v>1</v>
      </c>
      <c r="W738">
        <v>1</v>
      </c>
    </row>
    <row r="739" spans="13:23" x14ac:dyDescent="0.25">
      <c r="M739">
        <v>7</v>
      </c>
      <c r="N739">
        <v>129</v>
      </c>
      <c r="O739">
        <v>1</v>
      </c>
      <c r="P739">
        <v>79</v>
      </c>
      <c r="Q739">
        <v>1</v>
      </c>
      <c r="R739">
        <v>33</v>
      </c>
      <c r="U739">
        <v>1</v>
      </c>
      <c r="V739">
        <v>1</v>
      </c>
      <c r="W739">
        <v>1</v>
      </c>
    </row>
    <row r="740" spans="13:23" x14ac:dyDescent="0.25">
      <c r="M740">
        <v>8</v>
      </c>
      <c r="N740">
        <v>88</v>
      </c>
      <c r="O740">
        <v>1</v>
      </c>
      <c r="P740">
        <v>80</v>
      </c>
      <c r="Q740">
        <v>1</v>
      </c>
      <c r="R740">
        <v>33</v>
      </c>
      <c r="U740">
        <v>1</v>
      </c>
      <c r="V740">
        <v>1</v>
      </c>
      <c r="W740">
        <v>1</v>
      </c>
    </row>
    <row r="741" spans="13:23" x14ac:dyDescent="0.25">
      <c r="M741">
        <v>8</v>
      </c>
      <c r="N741">
        <v>88</v>
      </c>
      <c r="O741">
        <v>1</v>
      </c>
      <c r="P741">
        <v>80</v>
      </c>
      <c r="Q741">
        <v>1</v>
      </c>
      <c r="R741">
        <v>33</v>
      </c>
      <c r="U741">
        <v>1</v>
      </c>
      <c r="V741">
        <v>1</v>
      </c>
      <c r="W741">
        <v>1</v>
      </c>
    </row>
    <row r="742" spans="13:23" x14ac:dyDescent="0.25">
      <c r="M742">
        <v>10</v>
      </c>
      <c r="N742">
        <v>35</v>
      </c>
      <c r="O742">
        <v>1</v>
      </c>
      <c r="P742">
        <v>80</v>
      </c>
      <c r="Q742">
        <v>1</v>
      </c>
      <c r="R742">
        <v>33</v>
      </c>
      <c r="U742">
        <v>1</v>
      </c>
      <c r="V742">
        <v>1</v>
      </c>
      <c r="W742">
        <v>1</v>
      </c>
    </row>
    <row r="743" spans="13:23" x14ac:dyDescent="0.25">
      <c r="M743">
        <v>12</v>
      </c>
      <c r="N743">
        <v>14</v>
      </c>
      <c r="O743">
        <v>1</v>
      </c>
      <c r="P743">
        <v>80</v>
      </c>
      <c r="R743">
        <v>33</v>
      </c>
      <c r="U743">
        <v>1</v>
      </c>
      <c r="V743">
        <v>1</v>
      </c>
      <c r="W743">
        <v>1</v>
      </c>
    </row>
    <row r="744" spans="13:23" x14ac:dyDescent="0.25">
      <c r="M744">
        <v>14</v>
      </c>
      <c r="N744">
        <v>1</v>
      </c>
      <c r="O744">
        <v>1</v>
      </c>
      <c r="P744">
        <v>80</v>
      </c>
      <c r="R744">
        <v>33</v>
      </c>
      <c r="U744">
        <v>1</v>
      </c>
      <c r="V744">
        <v>1</v>
      </c>
      <c r="W744">
        <v>1</v>
      </c>
    </row>
    <row r="745" spans="13:23" x14ac:dyDescent="0.25">
      <c r="M745">
        <v>15</v>
      </c>
      <c r="N745">
        <v>130</v>
      </c>
      <c r="O745">
        <v>1</v>
      </c>
      <c r="P745">
        <v>80</v>
      </c>
      <c r="Q745">
        <v>1</v>
      </c>
      <c r="R745">
        <v>33</v>
      </c>
      <c r="U745">
        <v>1</v>
      </c>
      <c r="V745">
        <v>1</v>
      </c>
      <c r="W745">
        <v>1</v>
      </c>
    </row>
    <row r="746" spans="13:23" x14ac:dyDescent="0.25">
      <c r="M746">
        <v>17</v>
      </c>
      <c r="N746">
        <v>25</v>
      </c>
      <c r="O746">
        <v>1</v>
      </c>
      <c r="P746">
        <v>80</v>
      </c>
      <c r="Q746">
        <v>1</v>
      </c>
      <c r="R746">
        <v>33</v>
      </c>
      <c r="U746">
        <v>1</v>
      </c>
      <c r="V746">
        <v>1</v>
      </c>
      <c r="W746">
        <v>1</v>
      </c>
    </row>
    <row r="747" spans="13:23" x14ac:dyDescent="0.25">
      <c r="M747">
        <v>19</v>
      </c>
      <c r="N747">
        <v>7</v>
      </c>
      <c r="O747">
        <v>1</v>
      </c>
      <c r="P747">
        <v>80</v>
      </c>
      <c r="Q747">
        <v>1</v>
      </c>
      <c r="R747">
        <v>33</v>
      </c>
      <c r="U747">
        <v>1</v>
      </c>
      <c r="V747">
        <v>1</v>
      </c>
      <c r="W747">
        <v>1</v>
      </c>
    </row>
    <row r="748" spans="13:23" x14ac:dyDescent="0.25">
      <c r="M748">
        <v>7</v>
      </c>
      <c r="N748">
        <v>129</v>
      </c>
      <c r="O748">
        <v>1</v>
      </c>
      <c r="P748">
        <v>80</v>
      </c>
      <c r="Q748">
        <v>1</v>
      </c>
      <c r="R748">
        <v>33</v>
      </c>
      <c r="U748">
        <v>1</v>
      </c>
      <c r="V748">
        <v>1</v>
      </c>
      <c r="W748">
        <v>1</v>
      </c>
    </row>
    <row r="749" spans="13:23" x14ac:dyDescent="0.25">
      <c r="M749">
        <v>8</v>
      </c>
      <c r="N749">
        <v>88</v>
      </c>
      <c r="O749">
        <v>1</v>
      </c>
      <c r="P749">
        <v>81</v>
      </c>
      <c r="Q749">
        <v>1</v>
      </c>
      <c r="R749">
        <v>33</v>
      </c>
      <c r="U749">
        <v>1</v>
      </c>
      <c r="V749">
        <v>1</v>
      </c>
      <c r="W749">
        <v>1</v>
      </c>
    </row>
    <row r="750" spans="13:23" x14ac:dyDescent="0.25">
      <c r="M750">
        <v>8</v>
      </c>
      <c r="N750">
        <v>88</v>
      </c>
      <c r="O750">
        <v>1</v>
      </c>
      <c r="P750">
        <v>81</v>
      </c>
      <c r="Q750">
        <v>1</v>
      </c>
      <c r="R750">
        <v>33</v>
      </c>
      <c r="U750">
        <v>1</v>
      </c>
      <c r="V750">
        <v>1</v>
      </c>
      <c r="W750">
        <v>1</v>
      </c>
    </row>
    <row r="751" spans="13:23" x14ac:dyDescent="0.25">
      <c r="M751">
        <v>10</v>
      </c>
      <c r="N751">
        <v>35</v>
      </c>
      <c r="O751">
        <v>1</v>
      </c>
      <c r="P751">
        <v>81</v>
      </c>
      <c r="Q751">
        <v>1</v>
      </c>
      <c r="R751">
        <v>33</v>
      </c>
      <c r="U751">
        <v>1</v>
      </c>
      <c r="V751">
        <v>1</v>
      </c>
      <c r="W751">
        <v>1</v>
      </c>
    </row>
    <row r="752" spans="13:23" x14ac:dyDescent="0.25">
      <c r="M752">
        <v>12</v>
      </c>
      <c r="N752">
        <v>14</v>
      </c>
      <c r="O752">
        <v>1</v>
      </c>
      <c r="P752">
        <v>81</v>
      </c>
      <c r="R752">
        <v>33</v>
      </c>
      <c r="U752">
        <v>1</v>
      </c>
      <c r="V752">
        <v>1</v>
      </c>
      <c r="W752">
        <v>1</v>
      </c>
    </row>
    <row r="753" spans="13:23" x14ac:dyDescent="0.25">
      <c r="M753">
        <v>14</v>
      </c>
      <c r="N753">
        <v>1</v>
      </c>
      <c r="O753">
        <v>1</v>
      </c>
      <c r="P753">
        <v>81</v>
      </c>
      <c r="R753">
        <v>33</v>
      </c>
      <c r="U753">
        <v>1</v>
      </c>
      <c r="V753">
        <v>1</v>
      </c>
      <c r="W753">
        <v>1</v>
      </c>
    </row>
    <row r="754" spans="13:23" x14ac:dyDescent="0.25">
      <c r="M754">
        <v>15</v>
      </c>
      <c r="N754">
        <v>130</v>
      </c>
      <c r="O754">
        <v>1</v>
      </c>
      <c r="P754">
        <v>81</v>
      </c>
      <c r="Q754">
        <v>1</v>
      </c>
      <c r="R754">
        <v>33</v>
      </c>
      <c r="U754">
        <v>1</v>
      </c>
      <c r="V754">
        <v>1</v>
      </c>
      <c r="W754">
        <v>1</v>
      </c>
    </row>
    <row r="755" spans="13:23" x14ac:dyDescent="0.25">
      <c r="M755">
        <v>17</v>
      </c>
      <c r="N755">
        <v>25</v>
      </c>
      <c r="O755">
        <v>1</v>
      </c>
      <c r="P755">
        <v>81</v>
      </c>
      <c r="Q755">
        <v>1</v>
      </c>
      <c r="R755">
        <v>33</v>
      </c>
      <c r="U755">
        <v>1</v>
      </c>
      <c r="V755">
        <v>1</v>
      </c>
      <c r="W755">
        <v>1</v>
      </c>
    </row>
    <row r="756" spans="13:23" x14ac:dyDescent="0.25">
      <c r="M756">
        <v>19</v>
      </c>
      <c r="N756">
        <v>7</v>
      </c>
      <c r="O756">
        <v>1</v>
      </c>
      <c r="P756">
        <v>81</v>
      </c>
      <c r="Q756">
        <v>1</v>
      </c>
      <c r="R756">
        <v>33</v>
      </c>
      <c r="U756">
        <v>1</v>
      </c>
      <c r="V756">
        <v>1</v>
      </c>
      <c r="W756">
        <v>1</v>
      </c>
    </row>
    <row r="757" spans="13:23" x14ac:dyDescent="0.25">
      <c r="M757">
        <v>7</v>
      </c>
      <c r="N757">
        <v>129</v>
      </c>
      <c r="O757">
        <v>1</v>
      </c>
      <c r="P757">
        <v>81</v>
      </c>
      <c r="Q757">
        <v>1</v>
      </c>
      <c r="R757">
        <v>33</v>
      </c>
      <c r="U757">
        <v>1</v>
      </c>
      <c r="V757">
        <v>1</v>
      </c>
      <c r="W757">
        <v>1</v>
      </c>
    </row>
    <row r="758" spans="13:23" x14ac:dyDescent="0.25">
      <c r="M758">
        <v>8</v>
      </c>
      <c r="N758">
        <v>88</v>
      </c>
      <c r="O758">
        <v>1</v>
      </c>
      <c r="P758">
        <v>82</v>
      </c>
      <c r="Q758">
        <v>1</v>
      </c>
      <c r="R758">
        <v>33</v>
      </c>
      <c r="U758">
        <v>1</v>
      </c>
      <c r="V758">
        <v>1</v>
      </c>
      <c r="W758">
        <v>1</v>
      </c>
    </row>
    <row r="759" spans="13:23" x14ac:dyDescent="0.25">
      <c r="M759">
        <v>8</v>
      </c>
      <c r="N759">
        <v>88</v>
      </c>
      <c r="O759">
        <v>1</v>
      </c>
      <c r="P759">
        <v>82</v>
      </c>
      <c r="Q759">
        <v>1</v>
      </c>
      <c r="R759">
        <v>33</v>
      </c>
      <c r="U759">
        <v>1</v>
      </c>
      <c r="V759">
        <v>1</v>
      </c>
      <c r="W759">
        <v>1</v>
      </c>
    </row>
    <row r="760" spans="13:23" x14ac:dyDescent="0.25">
      <c r="M760">
        <v>10</v>
      </c>
      <c r="N760">
        <v>35</v>
      </c>
      <c r="O760">
        <v>1</v>
      </c>
      <c r="P760">
        <v>82</v>
      </c>
      <c r="Q760">
        <v>1</v>
      </c>
      <c r="R760">
        <v>33</v>
      </c>
      <c r="U760">
        <v>1</v>
      </c>
      <c r="V760">
        <v>1</v>
      </c>
      <c r="W760">
        <v>1</v>
      </c>
    </row>
    <row r="761" spans="13:23" x14ac:dyDescent="0.25">
      <c r="M761">
        <v>12</v>
      </c>
      <c r="N761">
        <v>14</v>
      </c>
      <c r="O761">
        <v>1</v>
      </c>
      <c r="P761">
        <v>82</v>
      </c>
      <c r="R761">
        <v>33</v>
      </c>
      <c r="U761">
        <v>1</v>
      </c>
      <c r="V761">
        <v>1</v>
      </c>
      <c r="W761">
        <v>1</v>
      </c>
    </row>
    <row r="762" spans="13:23" x14ac:dyDescent="0.25">
      <c r="M762">
        <v>14</v>
      </c>
      <c r="N762">
        <v>1</v>
      </c>
      <c r="O762">
        <v>1</v>
      </c>
      <c r="P762">
        <v>82</v>
      </c>
      <c r="R762">
        <v>33</v>
      </c>
      <c r="U762">
        <v>1</v>
      </c>
      <c r="V762">
        <v>1</v>
      </c>
      <c r="W762">
        <v>1</v>
      </c>
    </row>
    <row r="763" spans="13:23" x14ac:dyDescent="0.25">
      <c r="M763">
        <v>15</v>
      </c>
      <c r="N763">
        <v>130</v>
      </c>
      <c r="O763">
        <v>1</v>
      </c>
      <c r="P763">
        <v>82</v>
      </c>
      <c r="Q763">
        <v>1</v>
      </c>
      <c r="R763">
        <v>33</v>
      </c>
      <c r="U763">
        <v>1</v>
      </c>
      <c r="V763">
        <v>1</v>
      </c>
      <c r="W763">
        <v>1</v>
      </c>
    </row>
    <row r="764" spans="13:23" x14ac:dyDescent="0.25">
      <c r="M764">
        <v>17</v>
      </c>
      <c r="N764">
        <v>25</v>
      </c>
      <c r="O764">
        <v>1</v>
      </c>
      <c r="P764">
        <v>82</v>
      </c>
      <c r="Q764">
        <v>1</v>
      </c>
      <c r="R764">
        <v>33</v>
      </c>
      <c r="U764">
        <v>1</v>
      </c>
      <c r="V764">
        <v>1</v>
      </c>
      <c r="W764">
        <v>1</v>
      </c>
    </row>
    <row r="765" spans="13:23" x14ac:dyDescent="0.25">
      <c r="M765">
        <v>19</v>
      </c>
      <c r="N765">
        <v>7</v>
      </c>
      <c r="O765">
        <v>1</v>
      </c>
      <c r="P765">
        <v>82</v>
      </c>
      <c r="Q765">
        <v>1</v>
      </c>
      <c r="R765">
        <v>33</v>
      </c>
      <c r="U765">
        <v>1</v>
      </c>
      <c r="V765">
        <v>1</v>
      </c>
      <c r="W765">
        <v>1</v>
      </c>
    </row>
    <row r="766" spans="13:23" x14ac:dyDescent="0.25">
      <c r="M766">
        <v>7</v>
      </c>
      <c r="N766">
        <v>129</v>
      </c>
      <c r="O766">
        <v>1</v>
      </c>
      <c r="P766">
        <v>82</v>
      </c>
      <c r="Q766">
        <v>1</v>
      </c>
      <c r="R766">
        <v>33</v>
      </c>
      <c r="U766">
        <v>1</v>
      </c>
      <c r="V766">
        <v>1</v>
      </c>
      <c r="W766">
        <v>1</v>
      </c>
    </row>
    <row r="767" spans="13:23" x14ac:dyDescent="0.25">
      <c r="M767">
        <v>8</v>
      </c>
      <c r="N767">
        <v>88</v>
      </c>
      <c r="O767">
        <v>1</v>
      </c>
      <c r="P767">
        <v>83</v>
      </c>
      <c r="Q767">
        <v>1</v>
      </c>
      <c r="R767">
        <v>33</v>
      </c>
      <c r="U767">
        <v>1</v>
      </c>
      <c r="V767">
        <v>1</v>
      </c>
      <c r="W767">
        <v>1</v>
      </c>
    </row>
    <row r="768" spans="13:23" x14ac:dyDescent="0.25">
      <c r="M768">
        <v>8</v>
      </c>
      <c r="N768">
        <v>88</v>
      </c>
      <c r="O768">
        <v>1</v>
      </c>
      <c r="P768">
        <v>83</v>
      </c>
      <c r="Q768">
        <v>1</v>
      </c>
      <c r="R768">
        <v>33</v>
      </c>
      <c r="U768">
        <v>1</v>
      </c>
      <c r="V768">
        <v>1</v>
      </c>
      <c r="W768">
        <v>1</v>
      </c>
    </row>
    <row r="769" spans="13:23" x14ac:dyDescent="0.25">
      <c r="M769">
        <v>10</v>
      </c>
      <c r="N769">
        <v>35</v>
      </c>
      <c r="O769">
        <v>1</v>
      </c>
      <c r="P769">
        <v>83</v>
      </c>
      <c r="Q769">
        <v>1</v>
      </c>
      <c r="R769">
        <v>33</v>
      </c>
      <c r="U769">
        <v>1</v>
      </c>
      <c r="V769">
        <v>1</v>
      </c>
      <c r="W769">
        <v>1</v>
      </c>
    </row>
    <row r="770" spans="13:23" x14ac:dyDescent="0.25">
      <c r="M770">
        <v>12</v>
      </c>
      <c r="N770">
        <v>14</v>
      </c>
      <c r="O770">
        <v>1</v>
      </c>
      <c r="P770">
        <v>83</v>
      </c>
      <c r="R770">
        <v>33</v>
      </c>
      <c r="U770">
        <v>1</v>
      </c>
      <c r="V770">
        <v>1</v>
      </c>
      <c r="W770">
        <v>1</v>
      </c>
    </row>
    <row r="771" spans="13:23" x14ac:dyDescent="0.25">
      <c r="M771">
        <v>14</v>
      </c>
      <c r="N771">
        <v>1</v>
      </c>
      <c r="O771">
        <v>1</v>
      </c>
      <c r="P771">
        <v>83</v>
      </c>
      <c r="R771">
        <v>33</v>
      </c>
      <c r="U771">
        <v>1</v>
      </c>
      <c r="V771">
        <v>1</v>
      </c>
      <c r="W771">
        <v>1</v>
      </c>
    </row>
    <row r="772" spans="13:23" x14ac:dyDescent="0.25">
      <c r="M772">
        <v>15</v>
      </c>
      <c r="N772">
        <v>130</v>
      </c>
      <c r="O772">
        <v>1</v>
      </c>
      <c r="P772">
        <v>83</v>
      </c>
      <c r="Q772">
        <v>1</v>
      </c>
      <c r="R772">
        <v>33</v>
      </c>
      <c r="U772">
        <v>1</v>
      </c>
      <c r="V772">
        <v>1</v>
      </c>
      <c r="W772">
        <v>1</v>
      </c>
    </row>
    <row r="773" spans="13:23" x14ac:dyDescent="0.25">
      <c r="M773">
        <v>17</v>
      </c>
      <c r="N773">
        <v>25</v>
      </c>
      <c r="O773">
        <v>1</v>
      </c>
      <c r="P773">
        <v>83</v>
      </c>
      <c r="Q773">
        <v>1</v>
      </c>
      <c r="R773">
        <v>33</v>
      </c>
      <c r="U773">
        <v>1</v>
      </c>
      <c r="V773">
        <v>1</v>
      </c>
      <c r="W773">
        <v>1</v>
      </c>
    </row>
    <row r="774" spans="13:23" x14ac:dyDescent="0.25">
      <c r="M774">
        <v>19</v>
      </c>
      <c r="N774">
        <v>7</v>
      </c>
      <c r="O774">
        <v>1</v>
      </c>
      <c r="P774">
        <v>83</v>
      </c>
      <c r="Q774">
        <v>1</v>
      </c>
      <c r="R774">
        <v>33</v>
      </c>
      <c r="U774">
        <v>1</v>
      </c>
      <c r="V774">
        <v>1</v>
      </c>
      <c r="W774">
        <v>1</v>
      </c>
    </row>
    <row r="775" spans="13:23" x14ac:dyDescent="0.25">
      <c r="M775">
        <v>7</v>
      </c>
      <c r="N775">
        <v>129</v>
      </c>
      <c r="O775">
        <v>1</v>
      </c>
      <c r="P775">
        <v>83</v>
      </c>
      <c r="Q775">
        <v>1</v>
      </c>
      <c r="R775">
        <v>33</v>
      </c>
      <c r="U775">
        <v>1</v>
      </c>
      <c r="V775">
        <v>1</v>
      </c>
      <c r="W775">
        <v>1</v>
      </c>
    </row>
    <row r="776" spans="13:23" x14ac:dyDescent="0.25">
      <c r="M776">
        <v>8</v>
      </c>
      <c r="N776">
        <v>88</v>
      </c>
      <c r="O776">
        <v>1</v>
      </c>
      <c r="P776">
        <v>84</v>
      </c>
      <c r="Q776">
        <v>1</v>
      </c>
      <c r="R776">
        <v>33</v>
      </c>
      <c r="U776">
        <v>1</v>
      </c>
      <c r="V776">
        <v>1</v>
      </c>
      <c r="W776">
        <v>1</v>
      </c>
    </row>
    <row r="777" spans="13:23" x14ac:dyDescent="0.25">
      <c r="M777">
        <v>8</v>
      </c>
      <c r="N777">
        <v>88</v>
      </c>
      <c r="O777">
        <v>1</v>
      </c>
      <c r="P777">
        <v>84</v>
      </c>
      <c r="Q777">
        <v>1</v>
      </c>
      <c r="R777">
        <v>33</v>
      </c>
      <c r="U777">
        <v>1</v>
      </c>
      <c r="V777">
        <v>1</v>
      </c>
      <c r="W777">
        <v>1</v>
      </c>
    </row>
    <row r="778" spans="13:23" x14ac:dyDescent="0.25">
      <c r="M778">
        <v>10</v>
      </c>
      <c r="N778">
        <v>35</v>
      </c>
      <c r="O778">
        <v>1</v>
      </c>
      <c r="P778">
        <v>84</v>
      </c>
      <c r="Q778">
        <v>1</v>
      </c>
      <c r="R778">
        <v>33</v>
      </c>
      <c r="U778">
        <v>1</v>
      </c>
      <c r="V778">
        <v>1</v>
      </c>
      <c r="W778">
        <v>1</v>
      </c>
    </row>
    <row r="779" spans="13:23" x14ac:dyDescent="0.25">
      <c r="M779">
        <v>12</v>
      </c>
      <c r="N779">
        <v>14</v>
      </c>
      <c r="O779">
        <v>1</v>
      </c>
      <c r="P779">
        <v>84</v>
      </c>
      <c r="R779">
        <v>33</v>
      </c>
      <c r="U779">
        <v>1</v>
      </c>
      <c r="V779">
        <v>1</v>
      </c>
      <c r="W779">
        <v>1</v>
      </c>
    </row>
    <row r="780" spans="13:23" x14ac:dyDescent="0.25">
      <c r="M780">
        <v>14</v>
      </c>
      <c r="N780">
        <v>1</v>
      </c>
      <c r="O780">
        <v>1</v>
      </c>
      <c r="P780">
        <v>84</v>
      </c>
      <c r="R780">
        <v>33</v>
      </c>
      <c r="U780">
        <v>1</v>
      </c>
      <c r="V780">
        <v>1</v>
      </c>
      <c r="W780">
        <v>1</v>
      </c>
    </row>
    <row r="781" spans="13:23" x14ac:dyDescent="0.25">
      <c r="M781">
        <v>15</v>
      </c>
      <c r="N781">
        <v>130</v>
      </c>
      <c r="O781">
        <v>1</v>
      </c>
      <c r="P781">
        <v>84</v>
      </c>
      <c r="Q781">
        <v>1</v>
      </c>
      <c r="R781">
        <v>33</v>
      </c>
      <c r="U781">
        <v>1</v>
      </c>
      <c r="V781">
        <v>1</v>
      </c>
      <c r="W781">
        <v>1</v>
      </c>
    </row>
    <row r="782" spans="13:23" x14ac:dyDescent="0.25">
      <c r="M782">
        <v>17</v>
      </c>
      <c r="N782">
        <v>25</v>
      </c>
      <c r="O782">
        <v>1</v>
      </c>
      <c r="P782">
        <v>84</v>
      </c>
      <c r="Q782">
        <v>1</v>
      </c>
      <c r="R782">
        <v>33</v>
      </c>
      <c r="U782">
        <v>1</v>
      </c>
      <c r="V782">
        <v>1</v>
      </c>
      <c r="W782">
        <v>1</v>
      </c>
    </row>
    <row r="783" spans="13:23" x14ac:dyDescent="0.25">
      <c r="M783">
        <v>19</v>
      </c>
      <c r="N783">
        <v>7</v>
      </c>
      <c r="O783">
        <v>1</v>
      </c>
      <c r="P783">
        <v>84</v>
      </c>
      <c r="Q783">
        <v>1</v>
      </c>
      <c r="R783">
        <v>33</v>
      </c>
      <c r="U783">
        <v>1</v>
      </c>
      <c r="V783">
        <v>1</v>
      </c>
      <c r="W783">
        <v>1</v>
      </c>
    </row>
    <row r="784" spans="13:23" x14ac:dyDescent="0.25">
      <c r="M784">
        <v>7</v>
      </c>
      <c r="N784">
        <v>129</v>
      </c>
      <c r="O784">
        <v>1</v>
      </c>
      <c r="P784">
        <v>84</v>
      </c>
      <c r="Q784">
        <v>1</v>
      </c>
      <c r="R784">
        <v>33</v>
      </c>
      <c r="U784">
        <v>1</v>
      </c>
      <c r="V784">
        <v>1</v>
      </c>
      <c r="W784">
        <v>1</v>
      </c>
    </row>
    <row r="785" spans="13:23" x14ac:dyDescent="0.25">
      <c r="M785">
        <v>8</v>
      </c>
      <c r="N785">
        <v>88</v>
      </c>
      <c r="O785">
        <v>1</v>
      </c>
      <c r="P785">
        <v>85</v>
      </c>
      <c r="Q785">
        <v>1</v>
      </c>
      <c r="R785">
        <v>33</v>
      </c>
      <c r="U785">
        <v>1</v>
      </c>
      <c r="V785">
        <v>1</v>
      </c>
      <c r="W785">
        <v>1</v>
      </c>
    </row>
    <row r="786" spans="13:23" x14ac:dyDescent="0.25">
      <c r="M786">
        <v>8</v>
      </c>
      <c r="N786">
        <v>88</v>
      </c>
      <c r="O786">
        <v>1</v>
      </c>
      <c r="P786">
        <v>85</v>
      </c>
      <c r="Q786">
        <v>1</v>
      </c>
      <c r="R786">
        <v>33</v>
      </c>
      <c r="U786">
        <v>1</v>
      </c>
      <c r="V786">
        <v>1</v>
      </c>
      <c r="W786">
        <v>1</v>
      </c>
    </row>
    <row r="787" spans="13:23" x14ac:dyDescent="0.25">
      <c r="M787">
        <v>10</v>
      </c>
      <c r="N787">
        <v>35</v>
      </c>
      <c r="O787">
        <v>1</v>
      </c>
      <c r="P787">
        <v>85</v>
      </c>
      <c r="Q787">
        <v>1</v>
      </c>
      <c r="R787">
        <v>33</v>
      </c>
      <c r="U787">
        <v>1</v>
      </c>
      <c r="V787">
        <v>1</v>
      </c>
      <c r="W787">
        <v>1</v>
      </c>
    </row>
    <row r="788" spans="13:23" x14ac:dyDescent="0.25">
      <c r="M788">
        <v>12</v>
      </c>
      <c r="N788">
        <v>14</v>
      </c>
      <c r="O788">
        <v>1</v>
      </c>
      <c r="P788">
        <v>85</v>
      </c>
      <c r="R788">
        <v>33</v>
      </c>
      <c r="U788">
        <v>1</v>
      </c>
      <c r="V788">
        <v>1</v>
      </c>
      <c r="W788">
        <v>1</v>
      </c>
    </row>
    <row r="789" spans="13:23" x14ac:dyDescent="0.25">
      <c r="M789">
        <v>14</v>
      </c>
      <c r="N789">
        <v>1</v>
      </c>
      <c r="O789">
        <v>1</v>
      </c>
      <c r="P789">
        <v>85</v>
      </c>
      <c r="R789">
        <v>33</v>
      </c>
      <c r="U789">
        <v>1</v>
      </c>
      <c r="V789">
        <v>1</v>
      </c>
      <c r="W789">
        <v>1</v>
      </c>
    </row>
    <row r="790" spans="13:23" x14ac:dyDescent="0.25">
      <c r="M790">
        <v>15</v>
      </c>
      <c r="N790">
        <v>130</v>
      </c>
      <c r="O790">
        <v>1</v>
      </c>
      <c r="P790">
        <v>85</v>
      </c>
      <c r="Q790">
        <v>1</v>
      </c>
      <c r="R790">
        <v>33</v>
      </c>
      <c r="U790">
        <v>1</v>
      </c>
      <c r="V790">
        <v>1</v>
      </c>
      <c r="W790">
        <v>1</v>
      </c>
    </row>
    <row r="791" spans="13:23" x14ac:dyDescent="0.25">
      <c r="M791">
        <v>17</v>
      </c>
      <c r="N791">
        <v>25</v>
      </c>
      <c r="O791">
        <v>1</v>
      </c>
      <c r="P791">
        <v>85</v>
      </c>
      <c r="Q791">
        <v>1</v>
      </c>
      <c r="R791">
        <v>33</v>
      </c>
      <c r="U791">
        <v>1</v>
      </c>
      <c r="V791">
        <v>1</v>
      </c>
      <c r="W791">
        <v>1</v>
      </c>
    </row>
    <row r="792" spans="13:23" x14ac:dyDescent="0.25">
      <c r="M792">
        <v>19</v>
      </c>
      <c r="N792">
        <v>7</v>
      </c>
      <c r="O792">
        <v>1</v>
      </c>
      <c r="P792">
        <v>85</v>
      </c>
      <c r="Q792">
        <v>1</v>
      </c>
      <c r="R792">
        <v>33</v>
      </c>
      <c r="U792">
        <v>1</v>
      </c>
      <c r="V792">
        <v>1</v>
      </c>
      <c r="W792">
        <v>1</v>
      </c>
    </row>
    <row r="793" spans="13:23" x14ac:dyDescent="0.25">
      <c r="M793">
        <v>7</v>
      </c>
      <c r="N793">
        <v>129</v>
      </c>
      <c r="O793">
        <v>1</v>
      </c>
      <c r="P793">
        <v>85</v>
      </c>
      <c r="Q793">
        <v>1</v>
      </c>
      <c r="R793">
        <v>33</v>
      </c>
      <c r="U793">
        <v>1</v>
      </c>
      <c r="V793">
        <v>1</v>
      </c>
      <c r="W793">
        <v>1</v>
      </c>
    </row>
    <row r="794" spans="13:23" x14ac:dyDescent="0.25">
      <c r="M794">
        <v>8</v>
      </c>
      <c r="N794">
        <v>88</v>
      </c>
      <c r="O794">
        <v>1</v>
      </c>
      <c r="P794">
        <v>86</v>
      </c>
      <c r="Q794">
        <v>1</v>
      </c>
      <c r="R794">
        <v>33</v>
      </c>
      <c r="U794">
        <v>1</v>
      </c>
      <c r="V794">
        <v>1</v>
      </c>
      <c r="W794">
        <v>1</v>
      </c>
    </row>
    <row r="795" spans="13:23" x14ac:dyDescent="0.25">
      <c r="M795">
        <v>8</v>
      </c>
      <c r="N795">
        <v>88</v>
      </c>
      <c r="O795">
        <v>1</v>
      </c>
      <c r="P795">
        <v>86</v>
      </c>
      <c r="Q795">
        <v>1</v>
      </c>
      <c r="R795">
        <v>33</v>
      </c>
      <c r="U795">
        <v>1</v>
      </c>
      <c r="V795">
        <v>1</v>
      </c>
      <c r="W795">
        <v>1</v>
      </c>
    </row>
    <row r="796" spans="13:23" x14ac:dyDescent="0.25">
      <c r="M796">
        <v>10</v>
      </c>
      <c r="N796">
        <v>35</v>
      </c>
      <c r="O796">
        <v>1</v>
      </c>
      <c r="P796">
        <v>86</v>
      </c>
      <c r="Q796">
        <v>1</v>
      </c>
      <c r="R796">
        <v>33</v>
      </c>
      <c r="U796">
        <v>1</v>
      </c>
      <c r="V796">
        <v>1</v>
      </c>
      <c r="W796">
        <v>1</v>
      </c>
    </row>
    <row r="797" spans="13:23" x14ac:dyDescent="0.25">
      <c r="M797">
        <v>12</v>
      </c>
      <c r="N797">
        <v>14</v>
      </c>
      <c r="O797">
        <v>1</v>
      </c>
      <c r="P797">
        <v>86</v>
      </c>
      <c r="R797">
        <v>33</v>
      </c>
      <c r="U797">
        <v>1</v>
      </c>
      <c r="V797">
        <v>1</v>
      </c>
      <c r="W797">
        <v>1</v>
      </c>
    </row>
    <row r="798" spans="13:23" x14ac:dyDescent="0.25">
      <c r="M798">
        <v>14</v>
      </c>
      <c r="N798">
        <v>1</v>
      </c>
      <c r="O798">
        <v>1</v>
      </c>
      <c r="P798">
        <v>86</v>
      </c>
      <c r="R798">
        <v>33</v>
      </c>
      <c r="U798">
        <v>1</v>
      </c>
      <c r="V798">
        <v>1</v>
      </c>
      <c r="W798">
        <v>1</v>
      </c>
    </row>
    <row r="799" spans="13:23" x14ac:dyDescent="0.25">
      <c r="M799">
        <v>15</v>
      </c>
      <c r="N799">
        <v>130</v>
      </c>
      <c r="O799">
        <v>1</v>
      </c>
      <c r="P799">
        <v>86</v>
      </c>
      <c r="Q799">
        <v>1</v>
      </c>
      <c r="R799">
        <v>33</v>
      </c>
      <c r="U799">
        <v>1</v>
      </c>
      <c r="V799">
        <v>1</v>
      </c>
      <c r="W799">
        <v>1</v>
      </c>
    </row>
    <row r="800" spans="13:23" x14ac:dyDescent="0.25">
      <c r="M800">
        <v>17</v>
      </c>
      <c r="N800">
        <v>25</v>
      </c>
      <c r="O800">
        <v>1</v>
      </c>
      <c r="P800">
        <v>86</v>
      </c>
      <c r="Q800">
        <v>1</v>
      </c>
      <c r="R800">
        <v>33</v>
      </c>
      <c r="U800">
        <v>1</v>
      </c>
      <c r="V800">
        <v>1</v>
      </c>
      <c r="W800">
        <v>1</v>
      </c>
    </row>
    <row r="801" spans="13:23" x14ac:dyDescent="0.25">
      <c r="M801">
        <v>19</v>
      </c>
      <c r="N801">
        <v>7</v>
      </c>
      <c r="O801">
        <v>1</v>
      </c>
      <c r="P801">
        <v>86</v>
      </c>
      <c r="Q801">
        <v>1</v>
      </c>
      <c r="R801">
        <v>33</v>
      </c>
      <c r="U801">
        <v>1</v>
      </c>
      <c r="V801">
        <v>1</v>
      </c>
      <c r="W801">
        <v>1</v>
      </c>
    </row>
    <row r="802" spans="13:23" x14ac:dyDescent="0.25">
      <c r="M802">
        <v>7</v>
      </c>
      <c r="N802">
        <v>129</v>
      </c>
      <c r="O802">
        <v>1</v>
      </c>
      <c r="P802">
        <v>86</v>
      </c>
      <c r="Q802">
        <v>1</v>
      </c>
      <c r="R802">
        <v>33</v>
      </c>
      <c r="U802">
        <v>1</v>
      </c>
      <c r="V802">
        <v>1</v>
      </c>
      <c r="W802">
        <v>1</v>
      </c>
    </row>
    <row r="803" spans="13:23" x14ac:dyDescent="0.25">
      <c r="M803">
        <v>8</v>
      </c>
      <c r="N803">
        <v>88</v>
      </c>
      <c r="O803">
        <v>1</v>
      </c>
      <c r="P803">
        <v>87</v>
      </c>
      <c r="Q803">
        <v>1</v>
      </c>
      <c r="R803">
        <v>33</v>
      </c>
      <c r="U803">
        <v>1</v>
      </c>
      <c r="V803">
        <v>1</v>
      </c>
      <c r="W803">
        <v>1</v>
      </c>
    </row>
    <row r="804" spans="13:23" x14ac:dyDescent="0.25">
      <c r="M804">
        <v>8</v>
      </c>
      <c r="N804">
        <v>88</v>
      </c>
      <c r="O804">
        <v>1</v>
      </c>
      <c r="P804">
        <v>87</v>
      </c>
      <c r="Q804">
        <v>1</v>
      </c>
      <c r="R804">
        <v>33</v>
      </c>
      <c r="U804">
        <v>1</v>
      </c>
      <c r="V804">
        <v>1</v>
      </c>
      <c r="W804">
        <v>1</v>
      </c>
    </row>
    <row r="805" spans="13:23" x14ac:dyDescent="0.25">
      <c r="M805">
        <v>10</v>
      </c>
      <c r="N805">
        <v>35</v>
      </c>
      <c r="O805">
        <v>1</v>
      </c>
      <c r="P805">
        <v>87</v>
      </c>
      <c r="Q805">
        <v>1</v>
      </c>
      <c r="R805">
        <v>33</v>
      </c>
      <c r="U805">
        <v>1</v>
      </c>
      <c r="V805">
        <v>1</v>
      </c>
      <c r="W805">
        <v>1</v>
      </c>
    </row>
    <row r="806" spans="13:23" x14ac:dyDescent="0.25">
      <c r="M806">
        <v>12</v>
      </c>
      <c r="N806">
        <v>14</v>
      </c>
      <c r="O806">
        <v>1</v>
      </c>
      <c r="P806">
        <v>87</v>
      </c>
      <c r="R806">
        <v>33</v>
      </c>
      <c r="U806">
        <v>1</v>
      </c>
      <c r="V806">
        <v>1</v>
      </c>
      <c r="W806">
        <v>1</v>
      </c>
    </row>
    <row r="807" spans="13:23" x14ac:dyDescent="0.25">
      <c r="M807">
        <v>14</v>
      </c>
      <c r="N807">
        <v>1</v>
      </c>
      <c r="O807">
        <v>1</v>
      </c>
      <c r="P807">
        <v>87</v>
      </c>
      <c r="R807">
        <v>33</v>
      </c>
      <c r="U807">
        <v>1</v>
      </c>
      <c r="V807">
        <v>1</v>
      </c>
      <c r="W807">
        <v>1</v>
      </c>
    </row>
    <row r="808" spans="13:23" x14ac:dyDescent="0.25">
      <c r="M808">
        <v>15</v>
      </c>
      <c r="N808">
        <v>130</v>
      </c>
      <c r="O808">
        <v>1</v>
      </c>
      <c r="P808">
        <v>87</v>
      </c>
      <c r="Q808">
        <v>1</v>
      </c>
      <c r="R808">
        <v>33</v>
      </c>
      <c r="U808">
        <v>1</v>
      </c>
      <c r="V808">
        <v>1</v>
      </c>
      <c r="W808">
        <v>1</v>
      </c>
    </row>
    <row r="809" spans="13:23" x14ac:dyDescent="0.25">
      <c r="M809">
        <v>17</v>
      </c>
      <c r="N809">
        <v>25</v>
      </c>
      <c r="O809">
        <v>1</v>
      </c>
      <c r="P809">
        <v>87</v>
      </c>
      <c r="Q809">
        <v>1</v>
      </c>
      <c r="R809">
        <v>33</v>
      </c>
      <c r="U809">
        <v>1</v>
      </c>
      <c r="V809">
        <v>1</v>
      </c>
      <c r="W809">
        <v>1</v>
      </c>
    </row>
    <row r="810" spans="13:23" x14ac:dyDescent="0.25">
      <c r="M810">
        <v>19</v>
      </c>
      <c r="N810">
        <v>7</v>
      </c>
      <c r="O810">
        <v>1</v>
      </c>
      <c r="P810">
        <v>87</v>
      </c>
      <c r="Q810">
        <v>1</v>
      </c>
      <c r="R810">
        <v>33</v>
      </c>
      <c r="U810">
        <v>1</v>
      </c>
      <c r="V810">
        <v>1</v>
      </c>
      <c r="W810">
        <v>1</v>
      </c>
    </row>
    <row r="811" spans="13:23" x14ac:dyDescent="0.25">
      <c r="M811">
        <v>7</v>
      </c>
      <c r="N811">
        <v>129</v>
      </c>
      <c r="O811">
        <v>1</v>
      </c>
      <c r="P811">
        <v>87</v>
      </c>
      <c r="Q811">
        <v>1</v>
      </c>
      <c r="R811">
        <v>33</v>
      </c>
      <c r="U811">
        <v>1</v>
      </c>
      <c r="V811">
        <v>1</v>
      </c>
      <c r="W811">
        <v>1</v>
      </c>
    </row>
    <row r="812" spans="13:23" x14ac:dyDescent="0.25">
      <c r="M812">
        <v>8</v>
      </c>
      <c r="N812">
        <v>88</v>
      </c>
      <c r="O812">
        <v>1</v>
      </c>
      <c r="P812">
        <v>88</v>
      </c>
      <c r="Q812">
        <v>1</v>
      </c>
      <c r="R812">
        <v>33</v>
      </c>
      <c r="U812">
        <v>1</v>
      </c>
      <c r="V812">
        <v>1</v>
      </c>
      <c r="W812">
        <v>1</v>
      </c>
    </row>
    <row r="813" spans="13:23" x14ac:dyDescent="0.25">
      <c r="M813">
        <v>8</v>
      </c>
      <c r="N813">
        <v>88</v>
      </c>
      <c r="O813">
        <v>1</v>
      </c>
      <c r="P813">
        <v>88</v>
      </c>
      <c r="Q813">
        <v>1</v>
      </c>
      <c r="R813">
        <v>33</v>
      </c>
      <c r="U813">
        <v>1</v>
      </c>
      <c r="V813">
        <v>1</v>
      </c>
      <c r="W813">
        <v>1</v>
      </c>
    </row>
    <row r="814" spans="13:23" x14ac:dyDescent="0.25">
      <c r="M814">
        <v>10</v>
      </c>
      <c r="N814">
        <v>35</v>
      </c>
      <c r="O814">
        <v>1</v>
      </c>
      <c r="P814">
        <v>88</v>
      </c>
      <c r="Q814">
        <v>1</v>
      </c>
      <c r="R814">
        <v>33</v>
      </c>
      <c r="U814">
        <v>1</v>
      </c>
      <c r="V814">
        <v>1</v>
      </c>
      <c r="W814">
        <v>1</v>
      </c>
    </row>
    <row r="815" spans="13:23" x14ac:dyDescent="0.25">
      <c r="M815">
        <v>12</v>
      </c>
      <c r="N815">
        <v>14</v>
      </c>
      <c r="O815">
        <v>1</v>
      </c>
      <c r="P815">
        <v>88</v>
      </c>
      <c r="R815">
        <v>33</v>
      </c>
      <c r="U815">
        <v>1</v>
      </c>
      <c r="V815">
        <v>1</v>
      </c>
      <c r="W815">
        <v>1</v>
      </c>
    </row>
    <row r="816" spans="13:23" x14ac:dyDescent="0.25">
      <c r="M816">
        <v>14</v>
      </c>
      <c r="N816">
        <v>1</v>
      </c>
      <c r="O816">
        <v>1</v>
      </c>
      <c r="P816">
        <v>88</v>
      </c>
      <c r="R816">
        <v>33</v>
      </c>
      <c r="U816">
        <v>1</v>
      </c>
      <c r="V816">
        <v>1</v>
      </c>
      <c r="W816">
        <v>1</v>
      </c>
    </row>
    <row r="817" spans="13:23" x14ac:dyDescent="0.25">
      <c r="M817">
        <v>15</v>
      </c>
      <c r="N817">
        <v>130</v>
      </c>
      <c r="O817">
        <v>1</v>
      </c>
      <c r="P817">
        <v>88</v>
      </c>
      <c r="Q817">
        <v>1</v>
      </c>
      <c r="R817">
        <v>33</v>
      </c>
      <c r="U817">
        <v>1</v>
      </c>
      <c r="V817">
        <v>1</v>
      </c>
      <c r="W817">
        <v>1</v>
      </c>
    </row>
    <row r="818" spans="13:23" x14ac:dyDescent="0.25">
      <c r="M818">
        <v>17</v>
      </c>
      <c r="N818">
        <v>25</v>
      </c>
      <c r="O818">
        <v>1</v>
      </c>
      <c r="P818">
        <v>88</v>
      </c>
      <c r="Q818">
        <v>1</v>
      </c>
      <c r="R818">
        <v>33</v>
      </c>
      <c r="U818">
        <v>1</v>
      </c>
      <c r="V818">
        <v>1</v>
      </c>
      <c r="W818">
        <v>1</v>
      </c>
    </row>
    <row r="819" spans="13:23" x14ac:dyDescent="0.25">
      <c r="M819">
        <v>19</v>
      </c>
      <c r="N819">
        <v>7</v>
      </c>
      <c r="O819">
        <v>1</v>
      </c>
      <c r="P819">
        <v>88</v>
      </c>
      <c r="Q819">
        <v>1</v>
      </c>
      <c r="R819">
        <v>33</v>
      </c>
      <c r="U819">
        <v>1</v>
      </c>
      <c r="V819">
        <v>1</v>
      </c>
      <c r="W819">
        <v>1</v>
      </c>
    </row>
    <row r="820" spans="13:23" x14ac:dyDescent="0.25">
      <c r="M820">
        <v>7</v>
      </c>
      <c r="N820">
        <v>129</v>
      </c>
      <c r="O820">
        <v>1</v>
      </c>
      <c r="P820">
        <v>88</v>
      </c>
      <c r="Q820">
        <v>1</v>
      </c>
      <c r="R820">
        <v>33</v>
      </c>
      <c r="U820">
        <v>1</v>
      </c>
      <c r="V820">
        <v>1</v>
      </c>
      <c r="W820">
        <v>1</v>
      </c>
    </row>
    <row r="821" spans="13:23" x14ac:dyDescent="0.25">
      <c r="M821">
        <v>8</v>
      </c>
      <c r="N821">
        <v>88</v>
      </c>
      <c r="O821">
        <v>1</v>
      </c>
      <c r="P821">
        <v>89</v>
      </c>
      <c r="Q821">
        <v>1</v>
      </c>
      <c r="R821">
        <v>33</v>
      </c>
      <c r="U821">
        <v>1</v>
      </c>
      <c r="V821">
        <v>1</v>
      </c>
      <c r="W821">
        <v>1</v>
      </c>
    </row>
    <row r="822" spans="13:23" x14ac:dyDescent="0.25">
      <c r="M822">
        <v>8</v>
      </c>
      <c r="N822">
        <v>88</v>
      </c>
      <c r="O822">
        <v>1</v>
      </c>
      <c r="P822">
        <v>89</v>
      </c>
      <c r="Q822">
        <v>1</v>
      </c>
      <c r="R822">
        <v>33</v>
      </c>
      <c r="U822">
        <v>1</v>
      </c>
      <c r="V822">
        <v>1</v>
      </c>
      <c r="W822">
        <v>1</v>
      </c>
    </row>
    <row r="823" spans="13:23" x14ac:dyDescent="0.25">
      <c r="M823">
        <v>10</v>
      </c>
      <c r="N823">
        <v>35</v>
      </c>
      <c r="O823">
        <v>1</v>
      </c>
      <c r="P823">
        <v>89</v>
      </c>
      <c r="Q823">
        <v>1</v>
      </c>
      <c r="R823">
        <v>33</v>
      </c>
      <c r="U823">
        <v>1</v>
      </c>
      <c r="V823">
        <v>1</v>
      </c>
      <c r="W823">
        <v>1</v>
      </c>
    </row>
    <row r="824" spans="13:23" x14ac:dyDescent="0.25">
      <c r="M824">
        <v>12</v>
      </c>
      <c r="N824">
        <v>14</v>
      </c>
      <c r="O824">
        <v>1</v>
      </c>
      <c r="P824">
        <v>89</v>
      </c>
      <c r="R824">
        <v>33</v>
      </c>
      <c r="U824">
        <v>1</v>
      </c>
      <c r="V824">
        <v>1</v>
      </c>
      <c r="W824">
        <v>1</v>
      </c>
    </row>
    <row r="825" spans="13:23" x14ac:dyDescent="0.25">
      <c r="M825">
        <v>14</v>
      </c>
      <c r="N825">
        <v>1</v>
      </c>
      <c r="O825">
        <v>1</v>
      </c>
      <c r="P825">
        <v>89</v>
      </c>
      <c r="R825">
        <v>33</v>
      </c>
      <c r="U825">
        <v>1</v>
      </c>
      <c r="V825">
        <v>1</v>
      </c>
      <c r="W825">
        <v>1</v>
      </c>
    </row>
    <row r="826" spans="13:23" x14ac:dyDescent="0.25">
      <c r="M826">
        <v>15</v>
      </c>
      <c r="N826">
        <v>130</v>
      </c>
      <c r="O826">
        <v>1</v>
      </c>
      <c r="P826">
        <v>89</v>
      </c>
      <c r="Q826">
        <v>1</v>
      </c>
      <c r="R826">
        <v>33</v>
      </c>
      <c r="U826">
        <v>1</v>
      </c>
      <c r="V826">
        <v>1</v>
      </c>
      <c r="W826">
        <v>1</v>
      </c>
    </row>
    <row r="827" spans="13:23" x14ac:dyDescent="0.25">
      <c r="M827">
        <v>17</v>
      </c>
      <c r="N827">
        <v>25</v>
      </c>
      <c r="O827">
        <v>1</v>
      </c>
      <c r="P827">
        <v>89</v>
      </c>
      <c r="Q827">
        <v>1</v>
      </c>
      <c r="R827">
        <v>33</v>
      </c>
      <c r="U827">
        <v>1</v>
      </c>
      <c r="V827">
        <v>1</v>
      </c>
      <c r="W827">
        <v>1</v>
      </c>
    </row>
    <row r="828" spans="13:23" x14ac:dyDescent="0.25">
      <c r="M828">
        <v>19</v>
      </c>
      <c r="N828">
        <v>7</v>
      </c>
      <c r="O828">
        <v>1</v>
      </c>
      <c r="P828">
        <v>89</v>
      </c>
      <c r="Q828">
        <v>1</v>
      </c>
      <c r="R828">
        <v>33</v>
      </c>
      <c r="U828">
        <v>1</v>
      </c>
      <c r="V828">
        <v>1</v>
      </c>
      <c r="W828">
        <v>1</v>
      </c>
    </row>
    <row r="829" spans="13:23" x14ac:dyDescent="0.25">
      <c r="M829">
        <v>7</v>
      </c>
      <c r="N829">
        <v>129</v>
      </c>
      <c r="O829">
        <v>1</v>
      </c>
      <c r="P829">
        <v>89</v>
      </c>
      <c r="Q829">
        <v>1</v>
      </c>
      <c r="R829">
        <v>33</v>
      </c>
      <c r="U829">
        <v>1</v>
      </c>
      <c r="V829">
        <v>1</v>
      </c>
      <c r="W829">
        <v>1</v>
      </c>
    </row>
    <row r="830" spans="13:23" x14ac:dyDescent="0.25">
      <c r="M830">
        <v>8</v>
      </c>
      <c r="N830">
        <v>88</v>
      </c>
      <c r="O830">
        <v>1</v>
      </c>
      <c r="P830">
        <v>90</v>
      </c>
      <c r="Q830">
        <v>1</v>
      </c>
      <c r="R830">
        <v>33</v>
      </c>
      <c r="U830">
        <v>1</v>
      </c>
      <c r="V830">
        <v>1</v>
      </c>
      <c r="W830">
        <v>1</v>
      </c>
    </row>
    <row r="831" spans="13:23" x14ac:dyDescent="0.25">
      <c r="M831">
        <v>8</v>
      </c>
      <c r="N831">
        <v>88</v>
      </c>
      <c r="O831">
        <v>1</v>
      </c>
      <c r="P831">
        <v>90</v>
      </c>
      <c r="Q831">
        <v>1</v>
      </c>
      <c r="R831">
        <v>33</v>
      </c>
      <c r="U831">
        <v>1</v>
      </c>
      <c r="V831">
        <v>1</v>
      </c>
      <c r="W831">
        <v>1</v>
      </c>
    </row>
    <row r="832" spans="13:23" x14ac:dyDescent="0.25">
      <c r="M832">
        <v>10</v>
      </c>
      <c r="N832">
        <v>35</v>
      </c>
      <c r="O832">
        <v>1</v>
      </c>
      <c r="P832">
        <v>90</v>
      </c>
      <c r="Q832">
        <v>1</v>
      </c>
      <c r="R832">
        <v>33</v>
      </c>
      <c r="U832">
        <v>1</v>
      </c>
      <c r="V832">
        <v>1</v>
      </c>
      <c r="W832">
        <v>1</v>
      </c>
    </row>
    <row r="833" spans="13:23" x14ac:dyDescent="0.25">
      <c r="M833">
        <v>12</v>
      </c>
      <c r="N833">
        <v>14</v>
      </c>
      <c r="O833">
        <v>1</v>
      </c>
      <c r="P833">
        <v>90</v>
      </c>
      <c r="R833">
        <v>33</v>
      </c>
      <c r="U833">
        <v>1</v>
      </c>
      <c r="V833">
        <v>1</v>
      </c>
      <c r="W833">
        <v>1</v>
      </c>
    </row>
    <row r="834" spans="13:23" x14ac:dyDescent="0.25">
      <c r="M834">
        <v>14</v>
      </c>
      <c r="N834">
        <v>1</v>
      </c>
      <c r="O834">
        <v>1</v>
      </c>
      <c r="P834">
        <v>90</v>
      </c>
      <c r="R834">
        <v>33</v>
      </c>
      <c r="U834">
        <v>1</v>
      </c>
      <c r="V834">
        <v>1</v>
      </c>
      <c r="W834">
        <v>1</v>
      </c>
    </row>
    <row r="835" spans="13:23" x14ac:dyDescent="0.25">
      <c r="M835">
        <v>15</v>
      </c>
      <c r="N835">
        <v>130</v>
      </c>
      <c r="O835">
        <v>1</v>
      </c>
      <c r="P835">
        <v>90</v>
      </c>
      <c r="Q835">
        <v>1</v>
      </c>
      <c r="R835">
        <v>33</v>
      </c>
      <c r="U835">
        <v>1</v>
      </c>
      <c r="V835">
        <v>1</v>
      </c>
      <c r="W835">
        <v>1</v>
      </c>
    </row>
    <row r="836" spans="13:23" x14ac:dyDescent="0.25">
      <c r="M836">
        <v>17</v>
      </c>
      <c r="N836">
        <v>25</v>
      </c>
      <c r="O836">
        <v>1</v>
      </c>
      <c r="P836">
        <v>90</v>
      </c>
      <c r="Q836">
        <v>1</v>
      </c>
      <c r="R836">
        <v>33</v>
      </c>
      <c r="U836">
        <v>1</v>
      </c>
      <c r="V836">
        <v>1</v>
      </c>
      <c r="W836">
        <v>1</v>
      </c>
    </row>
    <row r="837" spans="13:23" x14ac:dyDescent="0.25">
      <c r="M837">
        <v>19</v>
      </c>
      <c r="N837">
        <v>7</v>
      </c>
      <c r="O837">
        <v>1</v>
      </c>
      <c r="P837">
        <v>90</v>
      </c>
      <c r="Q837">
        <v>1</v>
      </c>
      <c r="R837">
        <v>33</v>
      </c>
      <c r="U837">
        <v>1</v>
      </c>
      <c r="V837">
        <v>1</v>
      </c>
      <c r="W837">
        <v>1</v>
      </c>
    </row>
    <row r="838" spans="13:23" x14ac:dyDescent="0.25">
      <c r="M838">
        <v>7</v>
      </c>
      <c r="N838">
        <v>129</v>
      </c>
      <c r="O838">
        <v>1</v>
      </c>
      <c r="P838">
        <v>90</v>
      </c>
      <c r="Q838">
        <v>1</v>
      </c>
      <c r="R838">
        <v>33</v>
      </c>
      <c r="U838">
        <v>1</v>
      </c>
      <c r="V838">
        <v>1</v>
      </c>
      <c r="W838">
        <v>1</v>
      </c>
    </row>
    <row r="839" spans="13:23" x14ac:dyDescent="0.25">
      <c r="M839">
        <v>8</v>
      </c>
      <c r="N839">
        <v>88</v>
      </c>
      <c r="O839">
        <v>1</v>
      </c>
      <c r="P839">
        <v>91</v>
      </c>
      <c r="Q839">
        <v>1</v>
      </c>
      <c r="R839">
        <v>33</v>
      </c>
      <c r="U839">
        <v>1</v>
      </c>
      <c r="V839">
        <v>1</v>
      </c>
      <c r="W839">
        <v>1</v>
      </c>
    </row>
    <row r="840" spans="13:23" x14ac:dyDescent="0.25">
      <c r="M840">
        <v>8</v>
      </c>
      <c r="N840">
        <v>88</v>
      </c>
      <c r="O840">
        <v>1</v>
      </c>
      <c r="P840">
        <v>91</v>
      </c>
      <c r="Q840">
        <v>1</v>
      </c>
      <c r="R840">
        <v>33</v>
      </c>
      <c r="U840">
        <v>1</v>
      </c>
      <c r="V840">
        <v>1</v>
      </c>
      <c r="W840">
        <v>1</v>
      </c>
    </row>
    <row r="841" spans="13:23" x14ac:dyDescent="0.25">
      <c r="M841">
        <v>10</v>
      </c>
      <c r="N841">
        <v>35</v>
      </c>
      <c r="O841">
        <v>1</v>
      </c>
      <c r="P841">
        <v>91</v>
      </c>
      <c r="Q841">
        <v>1</v>
      </c>
      <c r="R841">
        <v>33</v>
      </c>
      <c r="U841">
        <v>1</v>
      </c>
      <c r="V841">
        <v>1</v>
      </c>
      <c r="W841">
        <v>1</v>
      </c>
    </row>
    <row r="842" spans="13:23" x14ac:dyDescent="0.25">
      <c r="M842">
        <v>12</v>
      </c>
      <c r="N842">
        <v>14</v>
      </c>
      <c r="O842">
        <v>1</v>
      </c>
      <c r="P842">
        <v>91</v>
      </c>
      <c r="R842">
        <v>33</v>
      </c>
      <c r="U842">
        <v>1</v>
      </c>
      <c r="V842">
        <v>1</v>
      </c>
      <c r="W842">
        <v>1</v>
      </c>
    </row>
    <row r="843" spans="13:23" x14ac:dyDescent="0.25">
      <c r="M843">
        <v>14</v>
      </c>
      <c r="N843">
        <v>1</v>
      </c>
      <c r="O843">
        <v>1</v>
      </c>
      <c r="P843">
        <v>91</v>
      </c>
      <c r="R843">
        <v>33</v>
      </c>
      <c r="U843">
        <v>1</v>
      </c>
      <c r="V843">
        <v>1</v>
      </c>
      <c r="W843">
        <v>1</v>
      </c>
    </row>
    <row r="844" spans="13:23" x14ac:dyDescent="0.25">
      <c r="M844">
        <v>15</v>
      </c>
      <c r="N844">
        <v>130</v>
      </c>
      <c r="O844">
        <v>1</v>
      </c>
      <c r="P844">
        <v>91</v>
      </c>
      <c r="Q844">
        <v>1</v>
      </c>
      <c r="R844">
        <v>33</v>
      </c>
      <c r="U844">
        <v>1</v>
      </c>
      <c r="V844">
        <v>1</v>
      </c>
      <c r="W844">
        <v>1</v>
      </c>
    </row>
    <row r="845" spans="13:23" x14ac:dyDescent="0.25">
      <c r="M845">
        <v>17</v>
      </c>
      <c r="N845">
        <v>25</v>
      </c>
      <c r="O845">
        <v>1</v>
      </c>
      <c r="P845">
        <v>91</v>
      </c>
      <c r="Q845">
        <v>1</v>
      </c>
      <c r="R845">
        <v>33</v>
      </c>
      <c r="U845">
        <v>1</v>
      </c>
      <c r="V845">
        <v>1</v>
      </c>
      <c r="W845">
        <v>1</v>
      </c>
    </row>
    <row r="846" spans="13:23" x14ac:dyDescent="0.25">
      <c r="M846">
        <v>19</v>
      </c>
      <c r="N846">
        <v>7</v>
      </c>
      <c r="O846">
        <v>1</v>
      </c>
      <c r="P846">
        <v>91</v>
      </c>
      <c r="Q846">
        <v>1</v>
      </c>
      <c r="R846">
        <v>33</v>
      </c>
      <c r="U846">
        <v>1</v>
      </c>
      <c r="V846">
        <v>1</v>
      </c>
      <c r="W846">
        <v>1</v>
      </c>
    </row>
    <row r="847" spans="13:23" x14ac:dyDescent="0.25">
      <c r="M847">
        <v>7</v>
      </c>
      <c r="N847">
        <v>129</v>
      </c>
      <c r="O847">
        <v>1</v>
      </c>
      <c r="P847">
        <v>91</v>
      </c>
      <c r="Q847">
        <v>1</v>
      </c>
      <c r="R847">
        <v>33</v>
      </c>
      <c r="U847">
        <v>1</v>
      </c>
      <c r="V847">
        <v>1</v>
      </c>
      <c r="W847">
        <v>1</v>
      </c>
    </row>
    <row r="848" spans="13:23" x14ac:dyDescent="0.25">
      <c r="M848">
        <v>8</v>
      </c>
      <c r="N848">
        <v>88</v>
      </c>
      <c r="O848">
        <v>1</v>
      </c>
      <c r="P848">
        <v>92</v>
      </c>
      <c r="Q848">
        <v>1</v>
      </c>
      <c r="R848">
        <v>33</v>
      </c>
      <c r="U848">
        <v>1</v>
      </c>
      <c r="V848">
        <v>1</v>
      </c>
      <c r="W848">
        <v>1</v>
      </c>
    </row>
    <row r="849" spans="13:23" x14ac:dyDescent="0.25">
      <c r="M849">
        <v>8</v>
      </c>
      <c r="N849">
        <v>88</v>
      </c>
      <c r="O849">
        <v>1</v>
      </c>
      <c r="P849">
        <v>92</v>
      </c>
      <c r="Q849">
        <v>1</v>
      </c>
      <c r="R849">
        <v>33</v>
      </c>
      <c r="U849">
        <v>1</v>
      </c>
      <c r="V849">
        <v>1</v>
      </c>
      <c r="W849">
        <v>1</v>
      </c>
    </row>
    <row r="850" spans="13:23" x14ac:dyDescent="0.25">
      <c r="M850">
        <v>10</v>
      </c>
      <c r="N850">
        <v>35</v>
      </c>
      <c r="O850">
        <v>1</v>
      </c>
      <c r="P850">
        <v>92</v>
      </c>
      <c r="Q850">
        <v>1</v>
      </c>
      <c r="R850">
        <v>33</v>
      </c>
      <c r="U850">
        <v>1</v>
      </c>
      <c r="V850">
        <v>1</v>
      </c>
      <c r="W850">
        <v>1</v>
      </c>
    </row>
    <row r="851" spans="13:23" x14ac:dyDescent="0.25">
      <c r="M851">
        <v>12</v>
      </c>
      <c r="N851">
        <v>14</v>
      </c>
      <c r="O851">
        <v>1</v>
      </c>
      <c r="P851">
        <v>92</v>
      </c>
      <c r="R851">
        <v>33</v>
      </c>
      <c r="U851">
        <v>1</v>
      </c>
      <c r="V851">
        <v>1</v>
      </c>
      <c r="W851">
        <v>1</v>
      </c>
    </row>
    <row r="852" spans="13:23" x14ac:dyDescent="0.25">
      <c r="M852">
        <v>14</v>
      </c>
      <c r="N852">
        <v>1</v>
      </c>
      <c r="O852">
        <v>1</v>
      </c>
      <c r="P852">
        <v>92</v>
      </c>
      <c r="R852">
        <v>33</v>
      </c>
      <c r="U852">
        <v>1</v>
      </c>
      <c r="V852">
        <v>1</v>
      </c>
      <c r="W852">
        <v>1</v>
      </c>
    </row>
    <row r="853" spans="13:23" x14ac:dyDescent="0.25">
      <c r="M853">
        <v>15</v>
      </c>
      <c r="N853">
        <v>130</v>
      </c>
      <c r="O853">
        <v>1</v>
      </c>
      <c r="P853">
        <v>92</v>
      </c>
      <c r="Q853">
        <v>1</v>
      </c>
      <c r="R853">
        <v>33</v>
      </c>
      <c r="U853">
        <v>1</v>
      </c>
      <c r="V853">
        <v>1</v>
      </c>
      <c r="W853">
        <v>1</v>
      </c>
    </row>
    <row r="854" spans="13:23" x14ac:dyDescent="0.25">
      <c r="M854">
        <v>17</v>
      </c>
      <c r="N854">
        <v>25</v>
      </c>
      <c r="O854">
        <v>1</v>
      </c>
      <c r="P854">
        <v>92</v>
      </c>
      <c r="Q854">
        <v>1</v>
      </c>
      <c r="R854">
        <v>33</v>
      </c>
      <c r="U854">
        <v>1</v>
      </c>
      <c r="V854">
        <v>1</v>
      </c>
      <c r="W854">
        <v>1</v>
      </c>
    </row>
    <row r="855" spans="13:23" x14ac:dyDescent="0.25">
      <c r="M855">
        <v>19</v>
      </c>
      <c r="N855">
        <v>7</v>
      </c>
      <c r="O855">
        <v>1</v>
      </c>
      <c r="P855">
        <v>92</v>
      </c>
      <c r="Q855">
        <v>1</v>
      </c>
      <c r="R855">
        <v>33</v>
      </c>
      <c r="U855">
        <v>1</v>
      </c>
      <c r="V855">
        <v>1</v>
      </c>
      <c r="W855">
        <v>1</v>
      </c>
    </row>
    <row r="856" spans="13:23" x14ac:dyDescent="0.25">
      <c r="M856">
        <v>7</v>
      </c>
      <c r="N856">
        <v>129</v>
      </c>
      <c r="O856">
        <v>1</v>
      </c>
      <c r="P856">
        <v>92</v>
      </c>
      <c r="Q856">
        <v>1</v>
      </c>
      <c r="R856">
        <v>33</v>
      </c>
      <c r="U856">
        <v>1</v>
      </c>
      <c r="V856">
        <v>1</v>
      </c>
      <c r="W856">
        <v>1</v>
      </c>
    </row>
    <row r="857" spans="13:23" x14ac:dyDescent="0.25">
      <c r="M857">
        <v>8</v>
      </c>
      <c r="N857">
        <v>88</v>
      </c>
      <c r="O857">
        <v>1</v>
      </c>
      <c r="P857">
        <v>93</v>
      </c>
      <c r="Q857">
        <v>1</v>
      </c>
      <c r="R857">
        <v>33</v>
      </c>
      <c r="U857">
        <v>1</v>
      </c>
      <c r="V857">
        <v>1</v>
      </c>
      <c r="W857">
        <v>1</v>
      </c>
    </row>
    <row r="858" spans="13:23" x14ac:dyDescent="0.25">
      <c r="M858">
        <v>8</v>
      </c>
      <c r="N858">
        <v>88</v>
      </c>
      <c r="O858">
        <v>1</v>
      </c>
      <c r="P858">
        <v>93</v>
      </c>
      <c r="Q858">
        <v>1</v>
      </c>
      <c r="R858">
        <v>33</v>
      </c>
      <c r="U858">
        <v>1</v>
      </c>
      <c r="V858">
        <v>1</v>
      </c>
      <c r="W858">
        <v>1</v>
      </c>
    </row>
    <row r="859" spans="13:23" x14ac:dyDescent="0.25">
      <c r="M859">
        <v>10</v>
      </c>
      <c r="N859">
        <v>35</v>
      </c>
      <c r="O859">
        <v>1</v>
      </c>
      <c r="P859">
        <v>93</v>
      </c>
      <c r="Q859">
        <v>1</v>
      </c>
      <c r="R859">
        <v>33</v>
      </c>
      <c r="U859">
        <v>1</v>
      </c>
      <c r="V859">
        <v>1</v>
      </c>
      <c r="W859">
        <v>1</v>
      </c>
    </row>
    <row r="860" spans="13:23" x14ac:dyDescent="0.25">
      <c r="M860">
        <v>12</v>
      </c>
      <c r="N860">
        <v>14</v>
      </c>
      <c r="O860">
        <v>1</v>
      </c>
      <c r="P860">
        <v>93</v>
      </c>
      <c r="R860">
        <v>33</v>
      </c>
      <c r="U860">
        <v>1</v>
      </c>
      <c r="V860">
        <v>1</v>
      </c>
      <c r="W860">
        <v>1</v>
      </c>
    </row>
    <row r="861" spans="13:23" x14ac:dyDescent="0.25">
      <c r="M861">
        <v>14</v>
      </c>
      <c r="N861">
        <v>1</v>
      </c>
      <c r="O861">
        <v>1</v>
      </c>
      <c r="P861">
        <v>93</v>
      </c>
      <c r="R861">
        <v>33</v>
      </c>
      <c r="U861">
        <v>1</v>
      </c>
      <c r="V861">
        <v>1</v>
      </c>
      <c r="W861">
        <v>1</v>
      </c>
    </row>
    <row r="862" spans="13:23" x14ac:dyDescent="0.25">
      <c r="M862">
        <v>15</v>
      </c>
      <c r="N862">
        <v>130</v>
      </c>
      <c r="O862">
        <v>1</v>
      </c>
      <c r="P862">
        <v>93</v>
      </c>
      <c r="Q862">
        <v>1</v>
      </c>
      <c r="R862">
        <v>33</v>
      </c>
      <c r="U862">
        <v>1</v>
      </c>
      <c r="V862">
        <v>1</v>
      </c>
      <c r="W862">
        <v>1</v>
      </c>
    </row>
    <row r="863" spans="13:23" x14ac:dyDescent="0.25">
      <c r="M863">
        <v>17</v>
      </c>
      <c r="N863">
        <v>25</v>
      </c>
      <c r="O863">
        <v>1</v>
      </c>
      <c r="P863">
        <v>93</v>
      </c>
      <c r="Q863">
        <v>1</v>
      </c>
      <c r="R863">
        <v>33</v>
      </c>
      <c r="U863">
        <v>1</v>
      </c>
      <c r="V863">
        <v>1</v>
      </c>
      <c r="W863">
        <v>1</v>
      </c>
    </row>
    <row r="864" spans="13:23" x14ac:dyDescent="0.25">
      <c r="M864">
        <v>19</v>
      </c>
      <c r="N864">
        <v>7</v>
      </c>
      <c r="O864">
        <v>1</v>
      </c>
      <c r="P864">
        <v>93</v>
      </c>
      <c r="Q864">
        <v>1</v>
      </c>
      <c r="R864">
        <v>33</v>
      </c>
      <c r="U864">
        <v>1</v>
      </c>
      <c r="V864">
        <v>1</v>
      </c>
      <c r="W864">
        <v>1</v>
      </c>
    </row>
    <row r="865" spans="13:23" x14ac:dyDescent="0.25">
      <c r="M865">
        <v>7</v>
      </c>
      <c r="N865">
        <v>129</v>
      </c>
      <c r="O865">
        <v>1</v>
      </c>
      <c r="P865">
        <v>93</v>
      </c>
      <c r="Q865">
        <v>1</v>
      </c>
      <c r="R865">
        <v>33</v>
      </c>
      <c r="U865">
        <v>1</v>
      </c>
      <c r="V865">
        <v>1</v>
      </c>
      <c r="W865">
        <v>1</v>
      </c>
    </row>
    <row r="866" spans="13:23" x14ac:dyDescent="0.25">
      <c r="M866">
        <v>8</v>
      </c>
      <c r="N866">
        <v>88</v>
      </c>
      <c r="O866">
        <v>1</v>
      </c>
      <c r="P866">
        <v>94</v>
      </c>
      <c r="Q866">
        <v>1</v>
      </c>
      <c r="R866">
        <v>33</v>
      </c>
      <c r="U866">
        <v>1</v>
      </c>
      <c r="V866">
        <v>1</v>
      </c>
      <c r="W866">
        <v>1</v>
      </c>
    </row>
    <row r="867" spans="13:23" x14ac:dyDescent="0.25">
      <c r="M867">
        <v>8</v>
      </c>
      <c r="N867">
        <v>88</v>
      </c>
      <c r="O867">
        <v>1</v>
      </c>
      <c r="P867">
        <v>94</v>
      </c>
      <c r="Q867">
        <v>1</v>
      </c>
      <c r="R867">
        <v>33</v>
      </c>
      <c r="U867">
        <v>1</v>
      </c>
      <c r="V867">
        <v>1</v>
      </c>
      <c r="W867">
        <v>1</v>
      </c>
    </row>
    <row r="868" spans="13:23" x14ac:dyDescent="0.25">
      <c r="M868">
        <v>10</v>
      </c>
      <c r="N868">
        <v>35</v>
      </c>
      <c r="O868">
        <v>1</v>
      </c>
      <c r="P868">
        <v>94</v>
      </c>
      <c r="Q868">
        <v>1</v>
      </c>
      <c r="R868">
        <v>33</v>
      </c>
      <c r="U868">
        <v>1</v>
      </c>
      <c r="V868">
        <v>1</v>
      </c>
      <c r="W868">
        <v>1</v>
      </c>
    </row>
    <row r="869" spans="13:23" x14ac:dyDescent="0.25">
      <c r="M869">
        <v>12</v>
      </c>
      <c r="N869">
        <v>14</v>
      </c>
      <c r="O869">
        <v>1</v>
      </c>
      <c r="P869">
        <v>94</v>
      </c>
      <c r="R869">
        <v>33</v>
      </c>
      <c r="U869">
        <v>1</v>
      </c>
      <c r="V869">
        <v>1</v>
      </c>
      <c r="W869">
        <v>1</v>
      </c>
    </row>
    <row r="870" spans="13:23" x14ac:dyDescent="0.25">
      <c r="M870">
        <v>14</v>
      </c>
      <c r="N870">
        <v>1</v>
      </c>
      <c r="O870">
        <v>1</v>
      </c>
      <c r="P870">
        <v>94</v>
      </c>
      <c r="R870">
        <v>33</v>
      </c>
      <c r="U870">
        <v>1</v>
      </c>
      <c r="V870">
        <v>1</v>
      </c>
      <c r="W870">
        <v>1</v>
      </c>
    </row>
    <row r="871" spans="13:23" x14ac:dyDescent="0.25">
      <c r="M871">
        <v>15</v>
      </c>
      <c r="N871">
        <v>130</v>
      </c>
      <c r="O871">
        <v>1</v>
      </c>
      <c r="P871">
        <v>94</v>
      </c>
      <c r="Q871">
        <v>1</v>
      </c>
      <c r="R871">
        <v>33</v>
      </c>
      <c r="U871">
        <v>1</v>
      </c>
      <c r="V871">
        <v>1</v>
      </c>
      <c r="W871">
        <v>1</v>
      </c>
    </row>
    <row r="872" spans="13:23" x14ac:dyDescent="0.25">
      <c r="M872">
        <v>17</v>
      </c>
      <c r="N872">
        <v>25</v>
      </c>
      <c r="O872">
        <v>1</v>
      </c>
      <c r="P872">
        <v>94</v>
      </c>
      <c r="Q872">
        <v>1</v>
      </c>
      <c r="R872">
        <v>33</v>
      </c>
      <c r="U872">
        <v>1</v>
      </c>
      <c r="V872">
        <v>1</v>
      </c>
      <c r="W872">
        <v>1</v>
      </c>
    </row>
    <row r="873" spans="13:23" x14ac:dyDescent="0.25">
      <c r="M873">
        <v>19</v>
      </c>
      <c r="N873">
        <v>7</v>
      </c>
      <c r="O873">
        <v>1</v>
      </c>
      <c r="P873">
        <v>94</v>
      </c>
      <c r="Q873">
        <v>1</v>
      </c>
      <c r="R873">
        <v>33</v>
      </c>
      <c r="U873">
        <v>1</v>
      </c>
      <c r="V873">
        <v>1</v>
      </c>
      <c r="W873">
        <v>1</v>
      </c>
    </row>
    <row r="874" spans="13:23" x14ac:dyDescent="0.25">
      <c r="M874">
        <v>7</v>
      </c>
      <c r="N874">
        <v>129</v>
      </c>
      <c r="O874">
        <v>1</v>
      </c>
      <c r="P874">
        <v>94</v>
      </c>
      <c r="Q874">
        <v>1</v>
      </c>
      <c r="R874">
        <v>33</v>
      </c>
      <c r="U874">
        <v>1</v>
      </c>
      <c r="V874">
        <v>1</v>
      </c>
      <c r="W874">
        <v>1</v>
      </c>
    </row>
    <row r="875" spans="13:23" x14ac:dyDescent="0.25">
      <c r="M875">
        <v>8</v>
      </c>
      <c r="N875">
        <v>88</v>
      </c>
      <c r="O875">
        <v>1</v>
      </c>
      <c r="P875">
        <v>95</v>
      </c>
      <c r="Q875">
        <v>1</v>
      </c>
      <c r="R875">
        <v>33</v>
      </c>
      <c r="U875">
        <v>1</v>
      </c>
      <c r="V875">
        <v>1</v>
      </c>
      <c r="W875">
        <v>1</v>
      </c>
    </row>
    <row r="876" spans="13:23" x14ac:dyDescent="0.25">
      <c r="M876">
        <v>8</v>
      </c>
      <c r="N876">
        <v>88</v>
      </c>
      <c r="O876">
        <v>1</v>
      </c>
      <c r="P876">
        <v>95</v>
      </c>
      <c r="Q876">
        <v>1</v>
      </c>
      <c r="R876">
        <v>33</v>
      </c>
      <c r="U876">
        <v>1</v>
      </c>
      <c r="V876">
        <v>1</v>
      </c>
      <c r="W876">
        <v>1</v>
      </c>
    </row>
    <row r="877" spans="13:23" x14ac:dyDescent="0.25">
      <c r="M877">
        <v>10</v>
      </c>
      <c r="N877">
        <v>35</v>
      </c>
      <c r="O877">
        <v>1</v>
      </c>
      <c r="P877">
        <v>95</v>
      </c>
      <c r="Q877">
        <v>1</v>
      </c>
      <c r="R877">
        <v>33</v>
      </c>
      <c r="U877">
        <v>1</v>
      </c>
      <c r="V877">
        <v>1</v>
      </c>
      <c r="W877">
        <v>1</v>
      </c>
    </row>
    <row r="878" spans="13:23" x14ac:dyDescent="0.25">
      <c r="M878">
        <v>12</v>
      </c>
      <c r="N878">
        <v>14</v>
      </c>
      <c r="O878">
        <v>1</v>
      </c>
      <c r="P878">
        <v>95</v>
      </c>
      <c r="R878">
        <v>33</v>
      </c>
      <c r="U878">
        <v>1</v>
      </c>
      <c r="V878">
        <v>1</v>
      </c>
      <c r="W878">
        <v>1</v>
      </c>
    </row>
    <row r="879" spans="13:23" x14ac:dyDescent="0.25">
      <c r="M879">
        <v>14</v>
      </c>
      <c r="N879">
        <v>1</v>
      </c>
      <c r="O879">
        <v>1</v>
      </c>
      <c r="P879">
        <v>95</v>
      </c>
      <c r="R879">
        <v>33</v>
      </c>
      <c r="U879">
        <v>1</v>
      </c>
      <c r="V879">
        <v>1</v>
      </c>
      <c r="W879">
        <v>1</v>
      </c>
    </row>
    <row r="880" spans="13:23" x14ac:dyDescent="0.25">
      <c r="M880">
        <v>15</v>
      </c>
      <c r="N880">
        <v>130</v>
      </c>
      <c r="O880">
        <v>1</v>
      </c>
      <c r="P880">
        <v>95</v>
      </c>
      <c r="Q880">
        <v>1</v>
      </c>
      <c r="R880">
        <v>33</v>
      </c>
      <c r="U880">
        <v>1</v>
      </c>
      <c r="V880">
        <v>1</v>
      </c>
      <c r="W880">
        <v>1</v>
      </c>
    </row>
    <row r="881" spans="13:23" x14ac:dyDescent="0.25">
      <c r="M881">
        <v>17</v>
      </c>
      <c r="N881">
        <v>25</v>
      </c>
      <c r="O881">
        <v>1</v>
      </c>
      <c r="P881">
        <v>95</v>
      </c>
      <c r="Q881">
        <v>1</v>
      </c>
      <c r="R881">
        <v>33</v>
      </c>
      <c r="U881">
        <v>1</v>
      </c>
      <c r="V881">
        <v>1</v>
      </c>
      <c r="W881">
        <v>1</v>
      </c>
    </row>
    <row r="882" spans="13:23" x14ac:dyDescent="0.25">
      <c r="M882">
        <v>19</v>
      </c>
      <c r="N882">
        <v>7</v>
      </c>
      <c r="O882">
        <v>1</v>
      </c>
      <c r="P882">
        <v>95</v>
      </c>
      <c r="Q882">
        <v>1</v>
      </c>
      <c r="R882">
        <v>33</v>
      </c>
      <c r="U882">
        <v>1</v>
      </c>
      <c r="V882">
        <v>1</v>
      </c>
      <c r="W882">
        <v>1</v>
      </c>
    </row>
    <row r="883" spans="13:23" x14ac:dyDescent="0.25">
      <c r="M883">
        <v>7</v>
      </c>
      <c r="N883">
        <v>129</v>
      </c>
      <c r="O883">
        <v>1</v>
      </c>
      <c r="P883">
        <v>95</v>
      </c>
      <c r="Q883">
        <v>1</v>
      </c>
      <c r="R883">
        <v>33</v>
      </c>
      <c r="U883">
        <v>1</v>
      </c>
      <c r="V883">
        <v>1</v>
      </c>
      <c r="W883">
        <v>1</v>
      </c>
    </row>
    <row r="884" spans="13:23" x14ac:dyDescent="0.25">
      <c r="M884">
        <v>8</v>
      </c>
      <c r="N884">
        <v>88</v>
      </c>
      <c r="O884">
        <v>1</v>
      </c>
      <c r="P884">
        <v>96</v>
      </c>
      <c r="Q884">
        <v>1</v>
      </c>
      <c r="R884">
        <v>33</v>
      </c>
      <c r="U884">
        <v>1</v>
      </c>
      <c r="V884">
        <v>1</v>
      </c>
      <c r="W884">
        <v>1</v>
      </c>
    </row>
    <row r="885" spans="13:23" x14ac:dyDescent="0.25">
      <c r="M885">
        <v>8</v>
      </c>
      <c r="N885">
        <v>88</v>
      </c>
      <c r="O885">
        <v>1</v>
      </c>
      <c r="P885">
        <v>96</v>
      </c>
      <c r="Q885">
        <v>1</v>
      </c>
      <c r="R885">
        <v>33</v>
      </c>
      <c r="U885">
        <v>1</v>
      </c>
      <c r="V885">
        <v>1</v>
      </c>
      <c r="W885">
        <v>1</v>
      </c>
    </row>
    <row r="886" spans="13:23" x14ac:dyDescent="0.25">
      <c r="M886">
        <v>10</v>
      </c>
      <c r="N886">
        <v>35</v>
      </c>
      <c r="O886">
        <v>1</v>
      </c>
      <c r="P886">
        <v>96</v>
      </c>
      <c r="Q886">
        <v>1</v>
      </c>
      <c r="R886">
        <v>33</v>
      </c>
      <c r="U886">
        <v>1</v>
      </c>
      <c r="V886">
        <v>1</v>
      </c>
      <c r="W886">
        <v>1</v>
      </c>
    </row>
    <row r="887" spans="13:23" x14ac:dyDescent="0.25">
      <c r="M887">
        <v>12</v>
      </c>
      <c r="N887">
        <v>14</v>
      </c>
      <c r="O887">
        <v>1</v>
      </c>
      <c r="P887">
        <v>96</v>
      </c>
      <c r="R887">
        <v>33</v>
      </c>
      <c r="U887">
        <v>1</v>
      </c>
      <c r="V887">
        <v>1</v>
      </c>
      <c r="W887">
        <v>1</v>
      </c>
    </row>
    <row r="888" spans="13:23" x14ac:dyDescent="0.25">
      <c r="M888">
        <v>14</v>
      </c>
      <c r="N888">
        <v>1</v>
      </c>
      <c r="O888">
        <v>1</v>
      </c>
      <c r="P888">
        <v>96</v>
      </c>
      <c r="R888">
        <v>33</v>
      </c>
      <c r="U888">
        <v>1</v>
      </c>
      <c r="V888">
        <v>1</v>
      </c>
      <c r="W888">
        <v>1</v>
      </c>
    </row>
    <row r="889" spans="13:23" x14ac:dyDescent="0.25">
      <c r="M889">
        <v>15</v>
      </c>
      <c r="N889">
        <v>130</v>
      </c>
      <c r="O889">
        <v>1</v>
      </c>
      <c r="P889">
        <v>96</v>
      </c>
      <c r="Q889">
        <v>1</v>
      </c>
      <c r="R889">
        <v>33</v>
      </c>
      <c r="U889">
        <v>1</v>
      </c>
      <c r="V889">
        <v>1</v>
      </c>
      <c r="W889">
        <v>1</v>
      </c>
    </row>
    <row r="890" spans="13:23" x14ac:dyDescent="0.25">
      <c r="M890">
        <v>17</v>
      </c>
      <c r="N890">
        <v>25</v>
      </c>
      <c r="O890">
        <v>1</v>
      </c>
      <c r="P890">
        <v>96</v>
      </c>
      <c r="Q890">
        <v>1</v>
      </c>
      <c r="R890">
        <v>33</v>
      </c>
      <c r="U890">
        <v>1</v>
      </c>
      <c r="V890">
        <v>1</v>
      </c>
      <c r="W890">
        <v>1</v>
      </c>
    </row>
    <row r="891" spans="13:23" x14ac:dyDescent="0.25">
      <c r="M891">
        <v>19</v>
      </c>
      <c r="N891">
        <v>7</v>
      </c>
      <c r="O891">
        <v>1</v>
      </c>
      <c r="P891">
        <v>96</v>
      </c>
      <c r="Q891">
        <v>1</v>
      </c>
      <c r="R891">
        <v>33</v>
      </c>
      <c r="U891">
        <v>1</v>
      </c>
      <c r="V891">
        <v>1</v>
      </c>
      <c r="W891">
        <v>1</v>
      </c>
    </row>
    <row r="892" spans="13:23" x14ac:dyDescent="0.25">
      <c r="M892">
        <v>7</v>
      </c>
      <c r="N892">
        <v>129</v>
      </c>
      <c r="O892">
        <v>1</v>
      </c>
      <c r="P892">
        <v>96</v>
      </c>
      <c r="Q892">
        <v>1</v>
      </c>
      <c r="R892">
        <v>33</v>
      </c>
      <c r="U892">
        <v>1</v>
      </c>
      <c r="V892">
        <v>1</v>
      </c>
      <c r="W892">
        <v>1</v>
      </c>
    </row>
    <row r="893" spans="13:23" x14ac:dyDescent="0.25">
      <c r="M893">
        <v>8</v>
      </c>
      <c r="N893">
        <v>88</v>
      </c>
      <c r="O893">
        <v>1</v>
      </c>
      <c r="P893">
        <v>97</v>
      </c>
      <c r="Q893">
        <v>1</v>
      </c>
      <c r="R893">
        <v>33</v>
      </c>
      <c r="U893">
        <v>1</v>
      </c>
      <c r="V893">
        <v>1</v>
      </c>
      <c r="W893">
        <v>1</v>
      </c>
    </row>
    <row r="894" spans="13:23" x14ac:dyDescent="0.25">
      <c r="M894">
        <v>8</v>
      </c>
      <c r="N894">
        <v>88</v>
      </c>
      <c r="O894">
        <v>1</v>
      </c>
      <c r="P894">
        <v>97</v>
      </c>
      <c r="Q894">
        <v>1</v>
      </c>
      <c r="R894">
        <v>33</v>
      </c>
      <c r="U894">
        <v>1</v>
      </c>
      <c r="V894">
        <v>1</v>
      </c>
      <c r="W894">
        <v>1</v>
      </c>
    </row>
    <row r="895" spans="13:23" x14ac:dyDescent="0.25">
      <c r="M895">
        <v>10</v>
      </c>
      <c r="N895">
        <v>35</v>
      </c>
      <c r="O895">
        <v>1</v>
      </c>
      <c r="P895">
        <v>97</v>
      </c>
      <c r="Q895">
        <v>1</v>
      </c>
      <c r="R895">
        <v>33</v>
      </c>
      <c r="U895">
        <v>1</v>
      </c>
      <c r="V895">
        <v>1</v>
      </c>
      <c r="W895">
        <v>1</v>
      </c>
    </row>
    <row r="896" spans="13:23" x14ac:dyDescent="0.25">
      <c r="M896">
        <v>12</v>
      </c>
      <c r="N896">
        <v>14</v>
      </c>
      <c r="O896">
        <v>1</v>
      </c>
      <c r="P896">
        <v>97</v>
      </c>
      <c r="R896">
        <v>33</v>
      </c>
      <c r="U896">
        <v>1</v>
      </c>
      <c r="V896">
        <v>1</v>
      </c>
      <c r="W896">
        <v>1</v>
      </c>
    </row>
    <row r="897" spans="13:23" x14ac:dyDescent="0.25">
      <c r="M897">
        <v>14</v>
      </c>
      <c r="N897">
        <v>1</v>
      </c>
      <c r="O897">
        <v>1</v>
      </c>
      <c r="P897">
        <v>97</v>
      </c>
      <c r="R897">
        <v>33</v>
      </c>
      <c r="U897">
        <v>1</v>
      </c>
      <c r="V897">
        <v>1</v>
      </c>
      <c r="W897">
        <v>1</v>
      </c>
    </row>
    <row r="898" spans="13:23" x14ac:dyDescent="0.25">
      <c r="M898">
        <v>15</v>
      </c>
      <c r="N898">
        <v>130</v>
      </c>
      <c r="O898">
        <v>1</v>
      </c>
      <c r="P898">
        <v>97</v>
      </c>
      <c r="Q898">
        <v>1</v>
      </c>
      <c r="R898">
        <v>33</v>
      </c>
      <c r="U898">
        <v>1</v>
      </c>
      <c r="V898">
        <v>1</v>
      </c>
      <c r="W898">
        <v>1</v>
      </c>
    </row>
    <row r="899" spans="13:23" x14ac:dyDescent="0.25">
      <c r="M899">
        <v>17</v>
      </c>
      <c r="N899">
        <v>25</v>
      </c>
      <c r="O899">
        <v>1</v>
      </c>
      <c r="P899">
        <v>97</v>
      </c>
      <c r="Q899">
        <v>1</v>
      </c>
      <c r="R899">
        <v>33</v>
      </c>
      <c r="U899">
        <v>1</v>
      </c>
      <c r="V899">
        <v>1</v>
      </c>
      <c r="W899">
        <v>1</v>
      </c>
    </row>
    <row r="900" spans="13:23" x14ac:dyDescent="0.25">
      <c r="M900">
        <v>19</v>
      </c>
      <c r="N900">
        <v>7</v>
      </c>
      <c r="O900">
        <v>1</v>
      </c>
      <c r="P900">
        <v>97</v>
      </c>
      <c r="Q900">
        <v>1</v>
      </c>
      <c r="R900">
        <v>33</v>
      </c>
      <c r="U900">
        <v>1</v>
      </c>
      <c r="V900">
        <v>1</v>
      </c>
      <c r="W900">
        <v>1</v>
      </c>
    </row>
    <row r="901" spans="13:23" x14ac:dyDescent="0.25">
      <c r="M901">
        <v>7</v>
      </c>
      <c r="N901">
        <v>129</v>
      </c>
      <c r="O901">
        <v>1</v>
      </c>
      <c r="P901">
        <v>97</v>
      </c>
      <c r="Q901">
        <v>1</v>
      </c>
      <c r="R901">
        <v>33</v>
      </c>
      <c r="U901">
        <v>1</v>
      </c>
      <c r="V901">
        <v>1</v>
      </c>
      <c r="W901">
        <v>1</v>
      </c>
    </row>
    <row r="902" spans="13:23" x14ac:dyDescent="0.25">
      <c r="M902">
        <v>8</v>
      </c>
      <c r="N902">
        <v>88</v>
      </c>
      <c r="O902">
        <v>1</v>
      </c>
      <c r="P902">
        <v>98</v>
      </c>
      <c r="Q902">
        <v>1</v>
      </c>
      <c r="R902">
        <v>33</v>
      </c>
      <c r="U902">
        <v>1</v>
      </c>
      <c r="V902">
        <v>1</v>
      </c>
      <c r="W902">
        <v>1</v>
      </c>
    </row>
    <row r="903" spans="13:23" x14ac:dyDescent="0.25">
      <c r="M903">
        <v>8</v>
      </c>
      <c r="N903">
        <v>88</v>
      </c>
      <c r="O903">
        <v>1</v>
      </c>
      <c r="P903">
        <v>98</v>
      </c>
      <c r="Q903">
        <v>1</v>
      </c>
      <c r="R903">
        <v>33</v>
      </c>
      <c r="U903">
        <v>1</v>
      </c>
      <c r="V903">
        <v>1</v>
      </c>
      <c r="W903">
        <v>1</v>
      </c>
    </row>
    <row r="904" spans="13:23" x14ac:dyDescent="0.25">
      <c r="M904">
        <v>10</v>
      </c>
      <c r="N904">
        <v>35</v>
      </c>
      <c r="O904">
        <v>1</v>
      </c>
      <c r="P904">
        <v>98</v>
      </c>
      <c r="Q904">
        <v>1</v>
      </c>
      <c r="R904">
        <v>33</v>
      </c>
      <c r="U904">
        <v>1</v>
      </c>
      <c r="V904">
        <v>1</v>
      </c>
      <c r="W904">
        <v>1</v>
      </c>
    </row>
    <row r="905" spans="13:23" x14ac:dyDescent="0.25">
      <c r="M905">
        <v>12</v>
      </c>
      <c r="N905">
        <v>14</v>
      </c>
      <c r="O905">
        <v>1</v>
      </c>
      <c r="P905">
        <v>98</v>
      </c>
      <c r="R905">
        <v>33</v>
      </c>
      <c r="U905">
        <v>1</v>
      </c>
      <c r="V905">
        <v>1</v>
      </c>
      <c r="W905">
        <v>1</v>
      </c>
    </row>
    <row r="906" spans="13:23" x14ac:dyDescent="0.25">
      <c r="M906">
        <v>14</v>
      </c>
      <c r="N906">
        <v>1</v>
      </c>
      <c r="O906">
        <v>1</v>
      </c>
      <c r="P906">
        <v>98</v>
      </c>
      <c r="R906">
        <v>33</v>
      </c>
      <c r="U906">
        <v>1</v>
      </c>
      <c r="V906">
        <v>1</v>
      </c>
      <c r="W906">
        <v>1</v>
      </c>
    </row>
    <row r="907" spans="13:23" x14ac:dyDescent="0.25">
      <c r="M907">
        <v>15</v>
      </c>
      <c r="N907">
        <v>130</v>
      </c>
      <c r="O907">
        <v>1</v>
      </c>
      <c r="P907">
        <v>98</v>
      </c>
      <c r="Q907">
        <v>1</v>
      </c>
      <c r="R907">
        <v>33</v>
      </c>
      <c r="U907">
        <v>1</v>
      </c>
      <c r="V907">
        <v>1</v>
      </c>
      <c r="W907">
        <v>1</v>
      </c>
    </row>
    <row r="908" spans="13:23" x14ac:dyDescent="0.25">
      <c r="M908">
        <v>17</v>
      </c>
      <c r="N908">
        <v>25</v>
      </c>
      <c r="O908">
        <v>1</v>
      </c>
      <c r="P908">
        <v>98</v>
      </c>
      <c r="Q908">
        <v>1</v>
      </c>
      <c r="R908">
        <v>33</v>
      </c>
      <c r="U908">
        <v>1</v>
      </c>
      <c r="V908">
        <v>1</v>
      </c>
      <c r="W908">
        <v>1</v>
      </c>
    </row>
    <row r="909" spans="13:23" x14ac:dyDescent="0.25">
      <c r="M909">
        <v>19</v>
      </c>
      <c r="N909">
        <v>7</v>
      </c>
      <c r="O909">
        <v>1</v>
      </c>
      <c r="P909">
        <v>98</v>
      </c>
      <c r="Q909">
        <v>1</v>
      </c>
      <c r="R909">
        <v>33</v>
      </c>
      <c r="U909">
        <v>1</v>
      </c>
      <c r="V909">
        <v>1</v>
      </c>
      <c r="W909">
        <v>1</v>
      </c>
    </row>
    <row r="910" spans="13:23" x14ac:dyDescent="0.25">
      <c r="M910">
        <v>7</v>
      </c>
      <c r="N910">
        <v>129</v>
      </c>
      <c r="O910">
        <v>1</v>
      </c>
      <c r="P910">
        <v>98</v>
      </c>
      <c r="Q910">
        <v>1</v>
      </c>
      <c r="R910">
        <v>33</v>
      </c>
      <c r="U910">
        <v>1</v>
      </c>
      <c r="V910">
        <v>1</v>
      </c>
      <c r="W910">
        <v>1</v>
      </c>
    </row>
    <row r="911" spans="13:23" x14ac:dyDescent="0.25">
      <c r="M911">
        <v>8</v>
      </c>
      <c r="N911">
        <v>88</v>
      </c>
      <c r="O911">
        <v>1</v>
      </c>
      <c r="P911">
        <v>99</v>
      </c>
      <c r="Q911">
        <v>1</v>
      </c>
      <c r="R911">
        <v>33</v>
      </c>
      <c r="U911">
        <v>1</v>
      </c>
      <c r="V911">
        <v>1</v>
      </c>
      <c r="W911">
        <v>1</v>
      </c>
    </row>
    <row r="912" spans="13:23" x14ac:dyDescent="0.25">
      <c r="M912">
        <v>8</v>
      </c>
      <c r="N912">
        <v>88</v>
      </c>
      <c r="O912">
        <v>1</v>
      </c>
      <c r="P912">
        <v>99</v>
      </c>
      <c r="Q912">
        <v>1</v>
      </c>
      <c r="R912">
        <v>33</v>
      </c>
      <c r="U912">
        <v>1</v>
      </c>
      <c r="V912">
        <v>1</v>
      </c>
      <c r="W912">
        <v>1</v>
      </c>
    </row>
    <row r="913" spans="13:23" x14ac:dyDescent="0.25">
      <c r="M913">
        <v>10</v>
      </c>
      <c r="N913">
        <v>35</v>
      </c>
      <c r="O913">
        <v>1</v>
      </c>
      <c r="P913">
        <v>99</v>
      </c>
      <c r="Q913">
        <v>1</v>
      </c>
      <c r="R913">
        <v>33</v>
      </c>
      <c r="U913">
        <v>1</v>
      </c>
      <c r="V913">
        <v>1</v>
      </c>
      <c r="W913">
        <v>1</v>
      </c>
    </row>
    <row r="914" spans="13:23" x14ac:dyDescent="0.25">
      <c r="M914">
        <v>12</v>
      </c>
      <c r="N914">
        <v>14</v>
      </c>
      <c r="O914">
        <v>1</v>
      </c>
      <c r="P914">
        <v>99</v>
      </c>
      <c r="R914">
        <v>33</v>
      </c>
      <c r="U914">
        <v>1</v>
      </c>
      <c r="V914">
        <v>1</v>
      </c>
      <c r="W914">
        <v>1</v>
      </c>
    </row>
    <row r="915" spans="13:23" x14ac:dyDescent="0.25">
      <c r="M915">
        <v>14</v>
      </c>
      <c r="N915">
        <v>1</v>
      </c>
      <c r="O915">
        <v>1</v>
      </c>
      <c r="P915">
        <v>99</v>
      </c>
      <c r="R915">
        <v>33</v>
      </c>
      <c r="U915">
        <v>1</v>
      </c>
      <c r="V915">
        <v>1</v>
      </c>
      <c r="W915">
        <v>1</v>
      </c>
    </row>
    <row r="916" spans="13:23" x14ac:dyDescent="0.25">
      <c r="M916">
        <v>15</v>
      </c>
      <c r="N916">
        <v>130</v>
      </c>
      <c r="O916">
        <v>1</v>
      </c>
      <c r="P916">
        <v>99</v>
      </c>
      <c r="Q916">
        <v>1</v>
      </c>
      <c r="R916">
        <v>33</v>
      </c>
      <c r="U916">
        <v>1</v>
      </c>
      <c r="V916">
        <v>1</v>
      </c>
      <c r="W916">
        <v>1</v>
      </c>
    </row>
    <row r="917" spans="13:23" x14ac:dyDescent="0.25">
      <c r="M917">
        <v>17</v>
      </c>
      <c r="N917">
        <v>25</v>
      </c>
      <c r="O917">
        <v>1</v>
      </c>
      <c r="P917">
        <v>99</v>
      </c>
      <c r="Q917">
        <v>1</v>
      </c>
      <c r="R917">
        <v>33</v>
      </c>
      <c r="U917">
        <v>1</v>
      </c>
      <c r="V917">
        <v>1</v>
      </c>
      <c r="W917">
        <v>1</v>
      </c>
    </row>
    <row r="918" spans="13:23" x14ac:dyDescent="0.25">
      <c r="M918">
        <v>19</v>
      </c>
      <c r="N918">
        <v>7</v>
      </c>
      <c r="O918">
        <v>1</v>
      </c>
      <c r="P918">
        <v>99</v>
      </c>
      <c r="Q918">
        <v>1</v>
      </c>
      <c r="R918">
        <v>33</v>
      </c>
      <c r="U918">
        <v>1</v>
      </c>
      <c r="V918">
        <v>1</v>
      </c>
      <c r="W918">
        <v>1</v>
      </c>
    </row>
    <row r="919" spans="13:23" x14ac:dyDescent="0.25">
      <c r="M919">
        <v>7</v>
      </c>
      <c r="N919">
        <v>129</v>
      </c>
      <c r="O919">
        <v>1</v>
      </c>
      <c r="P919">
        <v>99</v>
      </c>
      <c r="Q919">
        <v>1</v>
      </c>
      <c r="R919">
        <v>33</v>
      </c>
      <c r="U919">
        <v>1</v>
      </c>
      <c r="V919">
        <v>1</v>
      </c>
      <c r="W919">
        <v>1</v>
      </c>
    </row>
    <row r="920" spans="13:23" x14ac:dyDescent="0.25">
      <c r="M920">
        <v>8</v>
      </c>
      <c r="N920">
        <v>88</v>
      </c>
      <c r="O920">
        <v>1</v>
      </c>
      <c r="P920">
        <v>100</v>
      </c>
      <c r="Q920">
        <v>1</v>
      </c>
      <c r="R920">
        <v>33</v>
      </c>
      <c r="U920">
        <v>1</v>
      </c>
      <c r="V920">
        <v>1</v>
      </c>
      <c r="W920">
        <v>1</v>
      </c>
    </row>
    <row r="921" spans="13:23" x14ac:dyDescent="0.25">
      <c r="M921">
        <v>8</v>
      </c>
      <c r="N921">
        <v>88</v>
      </c>
      <c r="O921">
        <v>1</v>
      </c>
      <c r="P921">
        <v>100</v>
      </c>
      <c r="Q921">
        <v>1</v>
      </c>
      <c r="R921">
        <v>33</v>
      </c>
      <c r="U921">
        <v>1</v>
      </c>
      <c r="V921">
        <v>1</v>
      </c>
      <c r="W921">
        <v>1</v>
      </c>
    </row>
    <row r="922" spans="13:23" x14ac:dyDescent="0.25">
      <c r="M922">
        <v>10</v>
      </c>
      <c r="N922">
        <v>35</v>
      </c>
      <c r="O922">
        <v>1</v>
      </c>
      <c r="P922">
        <v>100</v>
      </c>
      <c r="Q922">
        <v>1</v>
      </c>
      <c r="R922">
        <v>33</v>
      </c>
      <c r="U922">
        <v>1</v>
      </c>
      <c r="V922">
        <v>1</v>
      </c>
      <c r="W922">
        <v>1</v>
      </c>
    </row>
    <row r="923" spans="13:23" x14ac:dyDescent="0.25">
      <c r="M923">
        <v>12</v>
      </c>
      <c r="N923">
        <v>14</v>
      </c>
      <c r="O923">
        <v>1</v>
      </c>
      <c r="P923">
        <v>100</v>
      </c>
      <c r="R923">
        <v>33</v>
      </c>
      <c r="U923">
        <v>1</v>
      </c>
      <c r="V923">
        <v>1</v>
      </c>
      <c r="W923">
        <v>1</v>
      </c>
    </row>
    <row r="924" spans="13:23" x14ac:dyDescent="0.25">
      <c r="M924">
        <v>14</v>
      </c>
      <c r="N924">
        <v>1</v>
      </c>
      <c r="O924">
        <v>1</v>
      </c>
      <c r="P924">
        <v>100</v>
      </c>
      <c r="R924">
        <v>33</v>
      </c>
      <c r="U924">
        <v>1</v>
      </c>
      <c r="V924">
        <v>1</v>
      </c>
      <c r="W924">
        <v>1</v>
      </c>
    </row>
    <row r="925" spans="13:23" x14ac:dyDescent="0.25">
      <c r="M925">
        <v>15</v>
      </c>
      <c r="N925">
        <v>130</v>
      </c>
      <c r="O925">
        <v>1</v>
      </c>
      <c r="P925">
        <v>100</v>
      </c>
      <c r="Q925">
        <v>1</v>
      </c>
      <c r="R925">
        <v>33</v>
      </c>
      <c r="U925">
        <v>1</v>
      </c>
      <c r="V925">
        <v>1</v>
      </c>
      <c r="W925">
        <v>1</v>
      </c>
    </row>
    <row r="926" spans="13:23" x14ac:dyDescent="0.25">
      <c r="M926">
        <v>17</v>
      </c>
      <c r="N926">
        <v>25</v>
      </c>
      <c r="O926">
        <v>1</v>
      </c>
      <c r="P926">
        <v>100</v>
      </c>
      <c r="Q926">
        <v>1</v>
      </c>
      <c r="R926">
        <v>33</v>
      </c>
      <c r="U926">
        <v>1</v>
      </c>
      <c r="V926">
        <v>1</v>
      </c>
      <c r="W926">
        <v>1</v>
      </c>
    </row>
    <row r="927" spans="13:23" x14ac:dyDescent="0.25">
      <c r="M927">
        <v>19</v>
      </c>
      <c r="N927">
        <v>7</v>
      </c>
      <c r="O927">
        <v>1</v>
      </c>
      <c r="P927">
        <v>100</v>
      </c>
      <c r="Q927">
        <v>1</v>
      </c>
      <c r="R927">
        <v>33</v>
      </c>
      <c r="U927">
        <v>1</v>
      </c>
      <c r="V927">
        <v>1</v>
      </c>
      <c r="W927">
        <v>1</v>
      </c>
    </row>
    <row r="928" spans="13:23" x14ac:dyDescent="0.25">
      <c r="M928">
        <v>7</v>
      </c>
      <c r="N928">
        <v>129</v>
      </c>
      <c r="O928">
        <v>1</v>
      </c>
      <c r="P928">
        <v>100</v>
      </c>
      <c r="Q928">
        <v>1</v>
      </c>
      <c r="R928">
        <v>33</v>
      </c>
      <c r="U928">
        <v>1</v>
      </c>
      <c r="V928">
        <v>1</v>
      </c>
      <c r="W928">
        <v>1</v>
      </c>
    </row>
    <row r="929" spans="13:23" x14ac:dyDescent="0.25">
      <c r="M929">
        <v>8</v>
      </c>
      <c r="N929">
        <v>88</v>
      </c>
      <c r="O929">
        <v>1</v>
      </c>
      <c r="P929">
        <v>101</v>
      </c>
      <c r="Q929">
        <v>1</v>
      </c>
      <c r="R929">
        <v>33</v>
      </c>
      <c r="U929">
        <v>1</v>
      </c>
      <c r="V929">
        <v>1</v>
      </c>
      <c r="W929">
        <v>1</v>
      </c>
    </row>
    <row r="930" spans="13:23" x14ac:dyDescent="0.25">
      <c r="M930">
        <v>8</v>
      </c>
      <c r="N930">
        <v>88</v>
      </c>
      <c r="O930">
        <v>1</v>
      </c>
      <c r="P930">
        <v>101</v>
      </c>
      <c r="Q930">
        <v>1</v>
      </c>
      <c r="R930">
        <v>33</v>
      </c>
      <c r="U930">
        <v>1</v>
      </c>
      <c r="V930">
        <v>1</v>
      </c>
      <c r="W930">
        <v>1</v>
      </c>
    </row>
    <row r="931" spans="13:23" x14ac:dyDescent="0.25">
      <c r="M931">
        <v>10</v>
      </c>
      <c r="N931">
        <v>35</v>
      </c>
      <c r="O931">
        <v>1</v>
      </c>
      <c r="P931">
        <v>101</v>
      </c>
      <c r="Q931">
        <v>1</v>
      </c>
      <c r="R931">
        <v>33</v>
      </c>
      <c r="U931">
        <v>1</v>
      </c>
      <c r="V931">
        <v>1</v>
      </c>
      <c r="W931">
        <v>1</v>
      </c>
    </row>
    <row r="932" spans="13:23" x14ac:dyDescent="0.25">
      <c r="M932">
        <v>12</v>
      </c>
      <c r="N932">
        <v>14</v>
      </c>
      <c r="O932">
        <v>1</v>
      </c>
      <c r="P932">
        <v>101</v>
      </c>
      <c r="R932">
        <v>33</v>
      </c>
      <c r="U932">
        <v>1</v>
      </c>
      <c r="V932">
        <v>1</v>
      </c>
      <c r="W932">
        <v>1</v>
      </c>
    </row>
    <row r="933" spans="13:23" x14ac:dyDescent="0.25">
      <c r="M933">
        <v>14</v>
      </c>
      <c r="N933">
        <v>1</v>
      </c>
      <c r="O933">
        <v>1</v>
      </c>
      <c r="P933">
        <v>101</v>
      </c>
      <c r="R933">
        <v>33</v>
      </c>
      <c r="U933">
        <v>1</v>
      </c>
      <c r="V933">
        <v>1</v>
      </c>
      <c r="W933">
        <v>1</v>
      </c>
    </row>
    <row r="934" spans="13:23" x14ac:dyDescent="0.25">
      <c r="M934">
        <v>15</v>
      </c>
      <c r="N934">
        <v>130</v>
      </c>
      <c r="O934">
        <v>1</v>
      </c>
      <c r="P934">
        <v>101</v>
      </c>
      <c r="Q934">
        <v>1</v>
      </c>
      <c r="R934">
        <v>33</v>
      </c>
      <c r="U934">
        <v>1</v>
      </c>
      <c r="V934">
        <v>1</v>
      </c>
      <c r="W934">
        <v>1</v>
      </c>
    </row>
    <row r="935" spans="13:23" x14ac:dyDescent="0.25">
      <c r="M935">
        <v>17</v>
      </c>
      <c r="N935">
        <v>25</v>
      </c>
      <c r="O935">
        <v>1</v>
      </c>
      <c r="P935">
        <v>101</v>
      </c>
      <c r="Q935">
        <v>1</v>
      </c>
      <c r="R935">
        <v>33</v>
      </c>
      <c r="U935">
        <v>1</v>
      </c>
      <c r="V935">
        <v>1</v>
      </c>
      <c r="W935">
        <v>1</v>
      </c>
    </row>
    <row r="936" spans="13:23" x14ac:dyDescent="0.25">
      <c r="M936">
        <v>19</v>
      </c>
      <c r="N936">
        <v>7</v>
      </c>
      <c r="O936">
        <v>1</v>
      </c>
      <c r="P936">
        <v>101</v>
      </c>
      <c r="Q936">
        <v>1</v>
      </c>
      <c r="R936">
        <v>33</v>
      </c>
      <c r="U936">
        <v>1</v>
      </c>
      <c r="V936">
        <v>1</v>
      </c>
      <c r="W936">
        <v>1</v>
      </c>
    </row>
    <row r="937" spans="13:23" x14ac:dyDescent="0.25">
      <c r="M937">
        <v>7</v>
      </c>
      <c r="N937">
        <v>129</v>
      </c>
      <c r="O937">
        <v>1</v>
      </c>
      <c r="P937">
        <v>101</v>
      </c>
      <c r="Q937">
        <v>1</v>
      </c>
      <c r="R937">
        <v>33</v>
      </c>
      <c r="U937">
        <v>1</v>
      </c>
      <c r="V937">
        <v>1</v>
      </c>
      <c r="W937">
        <v>1</v>
      </c>
    </row>
    <row r="938" spans="13:23" x14ac:dyDescent="0.25">
      <c r="M938">
        <v>8</v>
      </c>
      <c r="N938">
        <v>88</v>
      </c>
      <c r="O938">
        <v>1</v>
      </c>
      <c r="P938">
        <v>102</v>
      </c>
      <c r="Q938">
        <v>1</v>
      </c>
      <c r="R938">
        <v>33</v>
      </c>
      <c r="U938">
        <v>1</v>
      </c>
      <c r="V938">
        <v>1</v>
      </c>
      <c r="W938">
        <v>1</v>
      </c>
    </row>
    <row r="939" spans="13:23" x14ac:dyDescent="0.25">
      <c r="M939">
        <v>8</v>
      </c>
      <c r="N939">
        <v>88</v>
      </c>
      <c r="O939">
        <v>1</v>
      </c>
      <c r="P939">
        <v>102</v>
      </c>
      <c r="Q939">
        <v>1</v>
      </c>
      <c r="R939">
        <v>33</v>
      </c>
      <c r="U939">
        <v>1</v>
      </c>
      <c r="V939">
        <v>1</v>
      </c>
      <c r="W939">
        <v>1</v>
      </c>
    </row>
    <row r="940" spans="13:23" x14ac:dyDescent="0.25">
      <c r="M940">
        <v>10</v>
      </c>
      <c r="N940">
        <v>35</v>
      </c>
      <c r="O940">
        <v>1</v>
      </c>
      <c r="P940">
        <v>102</v>
      </c>
      <c r="Q940">
        <v>1</v>
      </c>
      <c r="R940">
        <v>33</v>
      </c>
      <c r="U940">
        <v>1</v>
      </c>
      <c r="V940">
        <v>1</v>
      </c>
      <c r="W940">
        <v>1</v>
      </c>
    </row>
    <row r="941" spans="13:23" x14ac:dyDescent="0.25">
      <c r="M941">
        <v>12</v>
      </c>
      <c r="N941">
        <v>14</v>
      </c>
      <c r="O941">
        <v>1</v>
      </c>
      <c r="P941">
        <v>102</v>
      </c>
      <c r="R941">
        <v>33</v>
      </c>
      <c r="U941">
        <v>1</v>
      </c>
      <c r="V941">
        <v>1</v>
      </c>
      <c r="W941">
        <v>1</v>
      </c>
    </row>
    <row r="942" spans="13:23" x14ac:dyDescent="0.25">
      <c r="M942">
        <v>14</v>
      </c>
      <c r="N942">
        <v>1</v>
      </c>
      <c r="O942">
        <v>1</v>
      </c>
      <c r="P942">
        <v>102</v>
      </c>
      <c r="R942">
        <v>33</v>
      </c>
      <c r="U942">
        <v>1</v>
      </c>
      <c r="V942">
        <v>1</v>
      </c>
      <c r="W942">
        <v>1</v>
      </c>
    </row>
    <row r="943" spans="13:23" x14ac:dyDescent="0.25">
      <c r="M943">
        <v>15</v>
      </c>
      <c r="N943">
        <v>130</v>
      </c>
      <c r="O943">
        <v>1</v>
      </c>
      <c r="P943">
        <v>102</v>
      </c>
      <c r="Q943">
        <v>1</v>
      </c>
      <c r="R943">
        <v>33</v>
      </c>
      <c r="U943">
        <v>1</v>
      </c>
      <c r="V943">
        <v>1</v>
      </c>
      <c r="W943">
        <v>1</v>
      </c>
    </row>
    <row r="944" spans="13:23" x14ac:dyDescent="0.25">
      <c r="M944">
        <v>17</v>
      </c>
      <c r="N944">
        <v>25</v>
      </c>
      <c r="O944">
        <v>1</v>
      </c>
      <c r="P944">
        <v>102</v>
      </c>
      <c r="Q944">
        <v>1</v>
      </c>
      <c r="R944">
        <v>33</v>
      </c>
      <c r="U944">
        <v>1</v>
      </c>
      <c r="V944">
        <v>1</v>
      </c>
      <c r="W944">
        <v>1</v>
      </c>
    </row>
    <row r="100004" spans="10:10" x14ac:dyDescent="0.25">
      <c r="J100004">
        <v>1</v>
      </c>
    </row>
    <row r="100013" spans="10:10" x14ac:dyDescent="0.25">
      <c r="J100013">
        <v>1</v>
      </c>
    </row>
  </sheetData>
  <mergeCells count="13">
    <mergeCell ref="M12:R12"/>
    <mergeCell ref="S12:W12"/>
    <mergeCell ref="L3:W3"/>
    <mergeCell ref="A1:B1"/>
    <mergeCell ref="A11:B11"/>
    <mergeCell ref="L2:W2"/>
    <mergeCell ref="L4:W4"/>
    <mergeCell ref="L5:W5"/>
    <mergeCell ref="L6:W6"/>
    <mergeCell ref="L7:W7"/>
    <mergeCell ref="L8:W8"/>
    <mergeCell ref="L9:W9"/>
    <mergeCell ref="L10:W10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2050" r:id="rId3" name="Load">
          <controlPr defaultSize="0" autoFill="0" autoLine="0" r:id="rId4">
            <anchor moveWithCells="1">
              <from>
                <xdr:col>27</xdr:col>
                <xdr:colOff>0</xdr:colOff>
                <xdr:row>22</xdr:row>
                <xdr:rowOff>9525</xdr:rowOff>
              </from>
              <to>
                <xdr:col>29</xdr:col>
                <xdr:colOff>228600</xdr:colOff>
                <xdr:row>24</xdr:row>
                <xdr:rowOff>28575</xdr:rowOff>
              </to>
            </anchor>
          </controlPr>
        </control>
      </mc:Choice>
      <mc:Fallback>
        <control shapeId="2050" r:id="rId3" name="Load"/>
      </mc:Fallback>
    </mc:AlternateContent>
    <mc:AlternateContent xmlns:mc="http://schemas.openxmlformats.org/markup-compatibility/2006">
      <mc:Choice Requires="x14">
        <control shapeId="2049" r:id="rId5" name="Go">
          <controlPr defaultSize="0" autoLine="0" r:id="rId6">
            <anchor moveWithCells="1">
              <from>
                <xdr:col>27</xdr:col>
                <xdr:colOff>0</xdr:colOff>
                <xdr:row>24</xdr:row>
                <xdr:rowOff>28575</xdr:rowOff>
              </from>
              <to>
                <xdr:col>29</xdr:col>
                <xdr:colOff>228600</xdr:colOff>
                <xdr:row>26</xdr:row>
                <xdr:rowOff>38100</xdr:rowOff>
              </to>
            </anchor>
          </controlPr>
        </control>
      </mc:Choice>
      <mc:Fallback>
        <control shapeId="2049" r:id="rId5" name="Go"/>
      </mc:Fallback>
    </mc:AlternateContent>
    <mc:AlternateContent xmlns:mc="http://schemas.openxmlformats.org/markup-compatibility/2006">
      <mc:Choice Requires="x14">
        <control shapeId="2052" r:id="rId7" name="CommandButton1">
          <controlPr defaultSize="0" autoFill="0" autoLine="0" r:id="rId8">
            <anchor moveWithCells="1">
              <from>
                <xdr:col>27</xdr:col>
                <xdr:colOff>0</xdr:colOff>
                <xdr:row>20</xdr:row>
                <xdr:rowOff>9525</xdr:rowOff>
              </from>
              <to>
                <xdr:col>29</xdr:col>
                <xdr:colOff>228600</xdr:colOff>
                <xdr:row>22</xdr:row>
                <xdr:rowOff>28575</xdr:rowOff>
              </to>
            </anchor>
          </controlPr>
        </control>
      </mc:Choice>
      <mc:Fallback>
        <control shapeId="2052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100017"/>
  <sheetViews>
    <sheetView tabSelected="1" zoomScale="73" zoomScaleNormal="73" workbookViewId="0">
      <selection activeCell="Z7" sqref="Z7:Z263"/>
    </sheetView>
  </sheetViews>
  <sheetFormatPr defaultRowHeight="15" x14ac:dyDescent="0.25"/>
  <cols>
    <col min="1" max="4" width="9.140625" style="2"/>
    <col min="5" max="5" width="12.28515625" style="2" customWidth="1"/>
    <col min="6" max="6" width="11.140625" style="2" customWidth="1"/>
    <col min="7" max="7" width="11" style="2" customWidth="1"/>
    <col min="8" max="9" width="9.140625" style="2" customWidth="1"/>
    <col min="10" max="10" width="12.85546875" style="2" customWidth="1"/>
    <col min="11" max="11" width="12.28515625" style="2" customWidth="1"/>
    <col min="12" max="13" width="9.140625" style="2"/>
    <col min="14" max="14" width="11.28515625" style="2" bestFit="1" customWidth="1"/>
    <col min="15" max="16" width="10.28515625" style="2" hidden="1" customWidth="1"/>
    <col min="17" max="25" width="9.140625" style="2"/>
    <col min="26" max="26" width="11.28515625" style="2" customWidth="1"/>
    <col min="27" max="28" width="9.140625" style="2"/>
  </cols>
  <sheetData>
    <row r="1" spans="1:26" x14ac:dyDescent="0.25">
      <c r="A1" s="3"/>
      <c r="B1" s="3"/>
      <c r="C1" s="88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25">
      <c r="A2" s="89"/>
      <c r="B2" s="89"/>
      <c r="C2" s="90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</row>
    <row r="3" spans="1:26" x14ac:dyDescent="0.25">
      <c r="A3" s="71"/>
      <c r="B3" s="115" t="s">
        <v>197</v>
      </c>
      <c r="C3" s="115"/>
      <c r="D3" s="115"/>
      <c r="E3" s="115"/>
      <c r="F3" s="116" t="s">
        <v>198</v>
      </c>
      <c r="G3" s="116"/>
      <c r="H3" s="117" t="s">
        <v>199</v>
      </c>
      <c r="I3" s="117"/>
      <c r="J3" s="117" t="s">
        <v>200</v>
      </c>
      <c r="K3" s="117"/>
      <c r="L3" s="84" t="s">
        <v>193</v>
      </c>
      <c r="M3" s="113" t="s">
        <v>191</v>
      </c>
      <c r="N3" s="113"/>
      <c r="O3" s="113"/>
      <c r="P3" s="113"/>
      <c r="Q3" s="113"/>
      <c r="R3" s="113"/>
      <c r="S3" s="113"/>
      <c r="T3" s="63"/>
      <c r="U3" s="115" t="s">
        <v>192</v>
      </c>
      <c r="V3" s="115"/>
      <c r="W3" s="115"/>
      <c r="X3" s="115"/>
      <c r="Y3" s="115"/>
      <c r="Z3" s="84" t="s">
        <v>182</v>
      </c>
    </row>
    <row r="4" spans="1:26" x14ac:dyDescent="0.25">
      <c r="A4" s="80" t="s">
        <v>201</v>
      </c>
      <c r="B4" s="80" t="s">
        <v>13</v>
      </c>
      <c r="C4" s="81" t="s">
        <v>113</v>
      </c>
      <c r="D4" s="81" t="s">
        <v>114</v>
      </c>
      <c r="E4" s="81" t="s">
        <v>117</v>
      </c>
      <c r="F4" s="80" t="s">
        <v>13</v>
      </c>
      <c r="G4" s="80" t="s">
        <v>34</v>
      </c>
      <c r="H4" s="80" t="s">
        <v>13</v>
      </c>
      <c r="I4" s="80" t="s">
        <v>34</v>
      </c>
      <c r="J4" s="80" t="s">
        <v>13</v>
      </c>
      <c r="K4" s="80" t="s">
        <v>34</v>
      </c>
      <c r="L4" s="80"/>
      <c r="M4" s="80" t="s">
        <v>167</v>
      </c>
      <c r="N4" s="80" t="s">
        <v>168</v>
      </c>
      <c r="O4" s="83" t="s">
        <v>203</v>
      </c>
      <c r="P4" s="83" t="s">
        <v>166</v>
      </c>
      <c r="Q4" s="80" t="s">
        <v>8</v>
      </c>
      <c r="R4" s="80" t="s">
        <v>9</v>
      </c>
      <c r="S4" s="80" t="s">
        <v>10</v>
      </c>
      <c r="T4" s="80" t="s">
        <v>11</v>
      </c>
      <c r="U4" s="80" t="s">
        <v>171</v>
      </c>
      <c r="V4" s="80" t="s">
        <v>170</v>
      </c>
      <c r="W4" s="80" t="s">
        <v>189</v>
      </c>
      <c r="X4" s="80" t="s">
        <v>190</v>
      </c>
      <c r="Y4" s="80" t="s">
        <v>174</v>
      </c>
      <c r="Z4" s="80" t="s">
        <v>121</v>
      </c>
    </row>
    <row r="5" spans="1:26" ht="15" hidden="1" customHeight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3"/>
    </row>
    <row r="6" spans="1:26" hidden="1" x14ac:dyDescent="0.25">
      <c r="A6" s="101"/>
      <c r="B6" s="101"/>
      <c r="C6" s="102"/>
      <c r="D6" s="102"/>
      <c r="E6" s="102"/>
      <c r="F6" s="76"/>
      <c r="G6" s="14"/>
      <c r="H6" s="14"/>
      <c r="I6" s="14"/>
      <c r="J6" s="77"/>
      <c r="K6" s="7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101">
        <v>100011</v>
      </c>
    </row>
    <row r="7" spans="1:26" x14ac:dyDescent="0.25">
      <c r="A7" s="101">
        <v>0</v>
      </c>
      <c r="B7" s="101" t="s">
        <v>34</v>
      </c>
      <c r="C7" s="102"/>
      <c r="D7" s="102" t="s">
        <v>8</v>
      </c>
      <c r="E7" s="102" t="s">
        <v>207</v>
      </c>
      <c r="F7" s="1" t="str">
        <f>Assembler!M2</f>
        <v>00100000</v>
      </c>
      <c r="G7" s="9" t="str">
        <f>E7</f>
        <v>00000000</v>
      </c>
      <c r="H7" s="9" t="str">
        <f>BIN2HEX(F7)</f>
        <v>20</v>
      </c>
      <c r="I7" s="9" t="str">
        <f>BIN2HEX(G7)</f>
        <v>0</v>
      </c>
      <c r="J7" s="6">
        <f>BIN2DEC(F7)</f>
        <v>32</v>
      </c>
      <c r="K7" s="6">
        <f>BIN2DEC(G7)</f>
        <v>0</v>
      </c>
      <c r="L7" s="47">
        <v>0</v>
      </c>
      <c r="M7" s="47">
        <v>2</v>
      </c>
      <c r="N7" s="82">
        <v>100001</v>
      </c>
      <c r="O7" s="82"/>
      <c r="P7" s="82"/>
      <c r="Q7" s="47">
        <v>0</v>
      </c>
      <c r="R7" s="47"/>
      <c r="S7" s="47"/>
      <c r="T7" s="47"/>
      <c r="U7" s="47"/>
      <c r="V7" s="47"/>
      <c r="W7" s="47"/>
      <c r="X7" s="47"/>
      <c r="Y7" s="47"/>
      <c r="Z7" s="103">
        <v>100000</v>
      </c>
    </row>
    <row r="8" spans="1:26" x14ac:dyDescent="0.25">
      <c r="A8" s="101">
        <v>1</v>
      </c>
      <c r="B8" s="101" t="s">
        <v>34</v>
      </c>
      <c r="C8" s="102"/>
      <c r="D8" s="102" t="s">
        <v>9</v>
      </c>
      <c r="E8" s="102" t="s">
        <v>147</v>
      </c>
      <c r="F8" s="1" t="str">
        <f>Assembler!M3</f>
        <v>00100001</v>
      </c>
      <c r="G8" s="9" t="str">
        <f>E9</f>
        <v>00010011</v>
      </c>
      <c r="H8" s="9" t="str">
        <f t="shared" ref="H8:H71" si="0">BIN2HEX(F8)</f>
        <v>21</v>
      </c>
      <c r="I8" s="9" t="str">
        <f t="shared" ref="I8:I71" si="1">BIN2HEX(G8)</f>
        <v>13</v>
      </c>
      <c r="J8" s="6">
        <f t="shared" ref="J8:J71" si="2">BIN2DEC(F8)</f>
        <v>33</v>
      </c>
      <c r="K8" s="6">
        <f t="shared" ref="K8:K71" si="3">BIN2DEC(G8)</f>
        <v>19</v>
      </c>
      <c r="L8" s="47">
        <v>1</v>
      </c>
      <c r="M8" s="47">
        <v>4</v>
      </c>
      <c r="N8" s="82">
        <v>100010</v>
      </c>
      <c r="O8" s="82"/>
      <c r="P8" s="82"/>
      <c r="Q8" s="47">
        <v>0</v>
      </c>
      <c r="R8" s="47">
        <v>1</v>
      </c>
      <c r="S8" s="47"/>
      <c r="T8" s="47"/>
      <c r="U8" s="47"/>
      <c r="V8" s="47"/>
      <c r="W8" s="47"/>
      <c r="X8" s="47"/>
      <c r="Y8" s="47"/>
      <c r="Z8" s="103">
        <v>0</v>
      </c>
    </row>
    <row r="9" spans="1:26" x14ac:dyDescent="0.25">
      <c r="A9" s="101">
        <v>2</v>
      </c>
      <c r="B9" s="104" t="s">
        <v>34</v>
      </c>
      <c r="C9" s="105"/>
      <c r="D9" s="105" t="s">
        <v>10</v>
      </c>
      <c r="E9" s="105" t="s">
        <v>213</v>
      </c>
      <c r="F9" s="1" t="str">
        <f>Assembler!M4</f>
        <v>00100010</v>
      </c>
      <c r="G9" s="9">
        <f>E12</f>
        <v>0</v>
      </c>
      <c r="H9" s="9" t="str">
        <f t="shared" si="0"/>
        <v>22</v>
      </c>
      <c r="I9" s="9" t="str">
        <f t="shared" si="1"/>
        <v>0</v>
      </c>
      <c r="J9" s="6">
        <f t="shared" si="2"/>
        <v>34</v>
      </c>
      <c r="K9" s="6">
        <f t="shared" si="3"/>
        <v>0</v>
      </c>
      <c r="L9" s="47">
        <v>2</v>
      </c>
      <c r="M9" s="47">
        <v>6</v>
      </c>
      <c r="N9" s="82">
        <v>100011</v>
      </c>
      <c r="O9" s="82"/>
      <c r="P9" s="82"/>
      <c r="Q9" s="47">
        <v>0</v>
      </c>
      <c r="R9" s="47">
        <v>1</v>
      </c>
      <c r="S9" s="47">
        <v>19</v>
      </c>
      <c r="T9" s="47"/>
      <c r="U9" s="47"/>
      <c r="V9" s="47"/>
      <c r="W9" s="47"/>
      <c r="X9" s="47"/>
      <c r="Y9" s="47"/>
      <c r="Z9" s="103">
        <v>100001</v>
      </c>
    </row>
    <row r="10" spans="1:26" x14ac:dyDescent="0.25">
      <c r="A10" s="101">
        <v>3</v>
      </c>
      <c r="B10" s="101" t="s">
        <v>34</v>
      </c>
      <c r="C10" s="101"/>
      <c r="D10" s="101" t="s">
        <v>11</v>
      </c>
      <c r="E10" s="103">
        <v>10100</v>
      </c>
      <c r="F10" s="1" t="str">
        <f>Assembler!M5</f>
        <v>00100011</v>
      </c>
      <c r="G10" s="9">
        <f>E13</f>
        <v>0</v>
      </c>
      <c r="H10" s="9" t="str">
        <f t="shared" si="0"/>
        <v>23</v>
      </c>
      <c r="I10" s="9" t="str">
        <f t="shared" si="1"/>
        <v>0</v>
      </c>
      <c r="J10" s="6">
        <f t="shared" si="2"/>
        <v>35</v>
      </c>
      <c r="K10" s="6">
        <f t="shared" si="3"/>
        <v>0</v>
      </c>
      <c r="L10" s="47">
        <v>3</v>
      </c>
      <c r="M10" s="47">
        <v>8</v>
      </c>
      <c r="N10" s="82">
        <v>10000100</v>
      </c>
      <c r="O10" s="82"/>
      <c r="P10" s="82"/>
      <c r="Q10" s="47">
        <v>0</v>
      </c>
      <c r="R10" s="47">
        <v>1</v>
      </c>
      <c r="S10" s="47">
        <v>19</v>
      </c>
      <c r="T10" s="47">
        <v>20</v>
      </c>
      <c r="U10" s="47"/>
      <c r="V10" s="47"/>
      <c r="W10" s="47"/>
      <c r="X10" s="47"/>
      <c r="Y10" s="47"/>
      <c r="Z10" s="103">
        <v>1</v>
      </c>
    </row>
    <row r="11" spans="1:26" x14ac:dyDescent="0.25">
      <c r="A11" s="101">
        <v>4</v>
      </c>
      <c r="B11" s="104" t="s">
        <v>0</v>
      </c>
      <c r="C11" s="105" t="s">
        <v>9</v>
      </c>
      <c r="D11" s="105" t="s">
        <v>8</v>
      </c>
      <c r="E11" s="103"/>
      <c r="F11" s="1" t="str">
        <f>Assembler!M6</f>
        <v>10000100</v>
      </c>
      <c r="G11" s="9">
        <f>E14</f>
        <v>0</v>
      </c>
      <c r="H11" s="9" t="str">
        <f t="shared" si="0"/>
        <v>84</v>
      </c>
      <c r="I11" s="9" t="str">
        <f t="shared" si="1"/>
        <v>0</v>
      </c>
      <c r="J11" s="6">
        <f t="shared" si="2"/>
        <v>132</v>
      </c>
      <c r="K11" s="6">
        <f t="shared" si="3"/>
        <v>0</v>
      </c>
      <c r="L11" s="47">
        <v>4</v>
      </c>
      <c r="M11" s="47">
        <v>9</v>
      </c>
      <c r="N11" s="82">
        <v>11000</v>
      </c>
      <c r="O11" s="82"/>
      <c r="P11" s="82"/>
      <c r="Q11" s="47">
        <v>1</v>
      </c>
      <c r="R11" s="47">
        <v>1</v>
      </c>
      <c r="S11" s="47">
        <v>19</v>
      </c>
      <c r="T11" s="47">
        <v>20</v>
      </c>
      <c r="U11" s="47"/>
      <c r="V11" s="47"/>
      <c r="W11" s="47">
        <v>1</v>
      </c>
      <c r="X11" s="47"/>
      <c r="Y11" s="47"/>
      <c r="Z11" s="103">
        <v>100010</v>
      </c>
    </row>
    <row r="12" spans="1:26" x14ac:dyDescent="0.25">
      <c r="A12" s="101">
        <v>5</v>
      </c>
      <c r="B12" s="101" t="s">
        <v>17</v>
      </c>
      <c r="C12" s="101" t="s">
        <v>10</v>
      </c>
      <c r="D12" s="101" t="s">
        <v>8</v>
      </c>
      <c r="E12" s="106"/>
      <c r="F12" s="1" t="str">
        <f>Assembler!M7</f>
        <v>00011000</v>
      </c>
      <c r="G12" s="9">
        <f>E15</f>
        <v>0</v>
      </c>
      <c r="H12" s="9" t="str">
        <f t="shared" si="0"/>
        <v>18</v>
      </c>
      <c r="I12" s="9" t="str">
        <f t="shared" si="1"/>
        <v>0</v>
      </c>
      <c r="J12" s="6">
        <f t="shared" si="2"/>
        <v>24</v>
      </c>
      <c r="K12" s="6">
        <f t="shared" si="3"/>
        <v>0</v>
      </c>
      <c r="L12" s="47">
        <v>5</v>
      </c>
      <c r="M12" s="47">
        <v>11</v>
      </c>
      <c r="N12" s="82">
        <v>1100</v>
      </c>
      <c r="O12" s="82"/>
      <c r="P12" s="82"/>
      <c r="Q12" s="47">
        <v>1</v>
      </c>
      <c r="R12" s="47">
        <v>1</v>
      </c>
      <c r="S12" s="47">
        <v>19</v>
      </c>
      <c r="T12" s="47">
        <v>20</v>
      </c>
      <c r="U12" s="47"/>
      <c r="V12" s="47"/>
      <c r="W12" s="47">
        <v>1</v>
      </c>
      <c r="X12" s="47"/>
      <c r="Y12" s="47"/>
      <c r="Z12" s="103">
        <v>10011</v>
      </c>
    </row>
    <row r="13" spans="1:26" x14ac:dyDescent="0.25">
      <c r="A13" s="101">
        <v>6</v>
      </c>
      <c r="B13" s="104" t="s">
        <v>17</v>
      </c>
      <c r="C13" s="105" t="s">
        <v>11</v>
      </c>
      <c r="D13" s="105" t="s">
        <v>9</v>
      </c>
      <c r="E13" s="106"/>
      <c r="F13" s="1" t="str">
        <f>Assembler!M8</f>
        <v>00011101</v>
      </c>
      <c r="G13" s="9">
        <f>E18</f>
        <v>0</v>
      </c>
      <c r="H13" s="9" t="str">
        <f t="shared" si="0"/>
        <v>1D</v>
      </c>
      <c r="I13" s="9" t="str">
        <f t="shared" si="1"/>
        <v>0</v>
      </c>
      <c r="J13" s="6">
        <f t="shared" si="2"/>
        <v>29</v>
      </c>
      <c r="K13" s="6">
        <f t="shared" si="3"/>
        <v>0</v>
      </c>
      <c r="L13" s="47">
        <v>6</v>
      </c>
      <c r="M13" s="47">
        <v>13</v>
      </c>
      <c r="N13" s="82">
        <v>1011000</v>
      </c>
      <c r="O13" s="82"/>
      <c r="P13" s="82"/>
      <c r="Q13" s="47">
        <v>1</v>
      </c>
      <c r="R13" s="47">
        <v>1</v>
      </c>
      <c r="S13" s="47">
        <v>19</v>
      </c>
      <c r="T13" s="47">
        <v>20</v>
      </c>
      <c r="U13" s="47"/>
      <c r="V13" s="47"/>
      <c r="W13" s="47">
        <v>1</v>
      </c>
      <c r="X13" s="47"/>
      <c r="Y13" s="47"/>
      <c r="Z13" s="103">
        <v>100011</v>
      </c>
    </row>
    <row r="14" spans="1:26" x14ac:dyDescent="0.25">
      <c r="A14" s="101">
        <v>7</v>
      </c>
      <c r="B14" s="104" t="s">
        <v>14</v>
      </c>
      <c r="C14" s="105" t="s">
        <v>11</v>
      </c>
      <c r="D14" s="105" t="s">
        <v>8</v>
      </c>
      <c r="E14" s="105"/>
      <c r="F14" s="1" t="str">
        <f>Assembler!M9</f>
        <v>00001100</v>
      </c>
      <c r="G14" s="9">
        <f t="shared" ref="G14:G17" si="4">E19</f>
        <v>0</v>
      </c>
      <c r="H14" s="9" t="str">
        <f t="shared" si="0"/>
        <v>C</v>
      </c>
      <c r="I14" s="9" t="str">
        <f t="shared" si="1"/>
        <v>0</v>
      </c>
      <c r="J14" s="6">
        <f t="shared" si="2"/>
        <v>12</v>
      </c>
      <c r="K14" s="6">
        <f t="shared" si="3"/>
        <v>0</v>
      </c>
      <c r="L14" s="47">
        <v>7</v>
      </c>
      <c r="M14" s="47">
        <v>15</v>
      </c>
      <c r="N14" s="82">
        <v>1000000</v>
      </c>
      <c r="O14" s="82"/>
      <c r="P14" s="82"/>
      <c r="Q14" s="47">
        <v>1</v>
      </c>
      <c r="R14" s="47">
        <v>1</v>
      </c>
      <c r="S14" s="47">
        <v>19</v>
      </c>
      <c r="T14" s="47">
        <v>20</v>
      </c>
      <c r="U14" s="47"/>
      <c r="V14" s="47"/>
      <c r="W14" s="47">
        <v>1</v>
      </c>
      <c r="X14" s="47"/>
      <c r="Y14" s="47"/>
      <c r="Z14" s="103">
        <v>10100</v>
      </c>
    </row>
    <row r="15" spans="1:26" x14ac:dyDescent="0.25">
      <c r="A15" s="101">
        <v>8</v>
      </c>
      <c r="B15" s="101" t="s">
        <v>14</v>
      </c>
      <c r="C15" s="101" t="s">
        <v>10</v>
      </c>
      <c r="D15" s="101" t="s">
        <v>9</v>
      </c>
      <c r="E15" s="105"/>
      <c r="F15" s="1" t="str">
        <f>Assembler!M10</f>
        <v>00001001</v>
      </c>
      <c r="G15" s="9">
        <f t="shared" si="4"/>
        <v>0</v>
      </c>
      <c r="H15" s="9" t="str">
        <f t="shared" si="0"/>
        <v>9</v>
      </c>
      <c r="I15" s="9" t="str">
        <f t="shared" si="1"/>
        <v>0</v>
      </c>
      <c r="J15" s="6">
        <f t="shared" si="2"/>
        <v>9</v>
      </c>
      <c r="K15" s="6">
        <f t="shared" si="3"/>
        <v>0</v>
      </c>
      <c r="L15" s="47">
        <v>8</v>
      </c>
      <c r="M15" s="47">
        <v>17</v>
      </c>
      <c r="N15" s="82">
        <v>11001111</v>
      </c>
      <c r="O15" s="82"/>
      <c r="P15" s="82"/>
      <c r="Q15" s="47">
        <v>1</v>
      </c>
      <c r="R15" s="47">
        <v>1</v>
      </c>
      <c r="S15" s="47">
        <v>19</v>
      </c>
      <c r="T15" s="47">
        <v>20</v>
      </c>
      <c r="U15" s="47"/>
      <c r="V15" s="47"/>
      <c r="W15" s="47">
        <v>1</v>
      </c>
      <c r="X15" s="47"/>
      <c r="Y15" s="47"/>
      <c r="Z15" s="103">
        <v>10000100</v>
      </c>
    </row>
    <row r="16" spans="1:26" x14ac:dyDescent="0.25">
      <c r="A16" s="101">
        <v>9</v>
      </c>
      <c r="B16" s="104" t="s">
        <v>47</v>
      </c>
      <c r="C16" s="105"/>
      <c r="D16" s="105"/>
      <c r="E16" s="105" t="s">
        <v>208</v>
      </c>
      <c r="F16" s="1" t="str">
        <f>Assembler!M11</f>
        <v>01011000</v>
      </c>
      <c r="G16" s="9">
        <f t="shared" si="4"/>
        <v>0</v>
      </c>
      <c r="H16" s="9" t="str">
        <f t="shared" si="0"/>
        <v>58</v>
      </c>
      <c r="I16" s="9" t="str">
        <f t="shared" si="1"/>
        <v>0</v>
      </c>
      <c r="J16" s="6">
        <f t="shared" si="2"/>
        <v>88</v>
      </c>
      <c r="K16" s="6">
        <f t="shared" si="3"/>
        <v>0</v>
      </c>
      <c r="L16" s="47">
        <v>9</v>
      </c>
      <c r="M16" s="47">
        <v>17</v>
      </c>
      <c r="N16" s="82">
        <v>11001111</v>
      </c>
      <c r="O16" s="82"/>
      <c r="P16" s="82"/>
      <c r="Q16" s="47">
        <v>1</v>
      </c>
      <c r="R16" s="47">
        <v>1</v>
      </c>
      <c r="S16" s="47">
        <v>19</v>
      </c>
      <c r="T16" s="47">
        <v>20</v>
      </c>
      <c r="U16" s="47"/>
      <c r="V16" s="47"/>
      <c r="W16" s="47">
        <v>1</v>
      </c>
      <c r="X16" s="47"/>
      <c r="Y16" s="47"/>
      <c r="Z16" s="103">
        <v>11000</v>
      </c>
    </row>
    <row r="17" spans="1:26" x14ac:dyDescent="0.25">
      <c r="A17" s="101">
        <v>10</v>
      </c>
      <c r="B17" s="104" t="s">
        <v>38</v>
      </c>
      <c r="C17" s="105"/>
      <c r="D17" s="105"/>
      <c r="E17" s="105" t="s">
        <v>211</v>
      </c>
      <c r="F17" s="1" t="str">
        <f>Assembler!M12</f>
        <v>01000000</v>
      </c>
      <c r="G17" s="9">
        <f t="shared" si="4"/>
        <v>0</v>
      </c>
      <c r="H17" s="9" t="str">
        <f t="shared" si="0"/>
        <v>40</v>
      </c>
      <c r="I17" s="9" t="str">
        <f t="shared" si="1"/>
        <v>0</v>
      </c>
      <c r="J17" s="6">
        <f t="shared" si="2"/>
        <v>64</v>
      </c>
      <c r="K17" s="6">
        <f t="shared" si="3"/>
        <v>0</v>
      </c>
      <c r="L17" s="47">
        <v>10</v>
      </c>
      <c r="M17" s="47">
        <v>8</v>
      </c>
      <c r="N17" s="82">
        <v>10000100</v>
      </c>
      <c r="O17" s="82"/>
      <c r="P17" s="82"/>
      <c r="Q17" s="47">
        <v>1</v>
      </c>
      <c r="R17" s="47">
        <v>1</v>
      </c>
      <c r="S17" s="47">
        <v>19</v>
      </c>
      <c r="T17" s="47">
        <v>20</v>
      </c>
      <c r="U17" s="47"/>
      <c r="V17" s="47"/>
      <c r="W17" s="47">
        <v>1</v>
      </c>
      <c r="X17" s="47"/>
      <c r="Y17" s="47"/>
      <c r="Z17" s="103">
        <v>11101</v>
      </c>
    </row>
    <row r="18" spans="1:26" x14ac:dyDescent="0.25">
      <c r="A18" s="76">
        <v>11</v>
      </c>
      <c r="B18" s="98" t="s">
        <v>145</v>
      </c>
      <c r="C18" s="99"/>
      <c r="D18" s="99"/>
      <c r="E18" s="99"/>
      <c r="F18" s="1">
        <f>Assembler!M13</f>
        <v>11001111</v>
      </c>
      <c r="G18" s="9">
        <f t="shared" ref="G18:G19" si="5">E22</f>
        <v>0</v>
      </c>
      <c r="H18" s="9" t="str">
        <f t="shared" si="0"/>
        <v>CF</v>
      </c>
      <c r="I18" s="9" t="str">
        <f t="shared" si="1"/>
        <v>0</v>
      </c>
      <c r="J18" s="6">
        <f t="shared" si="2"/>
        <v>207</v>
      </c>
      <c r="K18" s="6">
        <f t="shared" si="3"/>
        <v>0</v>
      </c>
      <c r="L18" s="47">
        <v>4</v>
      </c>
      <c r="M18" s="47">
        <v>9</v>
      </c>
      <c r="N18" s="82">
        <v>11000</v>
      </c>
      <c r="O18" s="82"/>
      <c r="P18" s="82"/>
      <c r="Q18" s="47">
        <v>2</v>
      </c>
      <c r="R18" s="47">
        <v>1</v>
      </c>
      <c r="S18" s="47">
        <v>19</v>
      </c>
      <c r="T18" s="47">
        <v>20</v>
      </c>
      <c r="U18" s="47"/>
      <c r="V18" s="47"/>
      <c r="W18" s="47">
        <v>1</v>
      </c>
      <c r="X18" s="47">
        <v>1</v>
      </c>
      <c r="Y18" s="47"/>
      <c r="Z18" s="14">
        <v>1100</v>
      </c>
    </row>
    <row r="19" spans="1:26" x14ac:dyDescent="0.25">
      <c r="A19" s="76">
        <v>12</v>
      </c>
      <c r="B19" s="98"/>
      <c r="C19" s="99"/>
      <c r="D19" s="99"/>
      <c r="E19" s="100"/>
      <c r="F19" s="1" t="str">
        <f>Assembler!M14</f>
        <v/>
      </c>
      <c r="G19" s="9">
        <f t="shared" si="5"/>
        <v>0</v>
      </c>
      <c r="H19" s="9" t="str">
        <f t="shared" si="0"/>
        <v>0</v>
      </c>
      <c r="I19" s="9" t="str">
        <f t="shared" si="1"/>
        <v>0</v>
      </c>
      <c r="J19" s="6">
        <f t="shared" si="2"/>
        <v>0</v>
      </c>
      <c r="K19" s="6">
        <f t="shared" si="3"/>
        <v>0</v>
      </c>
      <c r="L19" s="47">
        <v>5</v>
      </c>
      <c r="M19" s="47">
        <v>11</v>
      </c>
      <c r="N19" s="82">
        <v>1100</v>
      </c>
      <c r="O19" s="82"/>
      <c r="P19" s="82"/>
      <c r="Q19" s="47">
        <v>2</v>
      </c>
      <c r="R19" s="47">
        <v>1</v>
      </c>
      <c r="S19" s="47">
        <v>19</v>
      </c>
      <c r="T19" s="47">
        <v>20</v>
      </c>
      <c r="U19" s="47"/>
      <c r="V19" s="47"/>
      <c r="W19" s="47">
        <v>1</v>
      </c>
      <c r="X19" s="47">
        <v>1</v>
      </c>
      <c r="Y19" s="47"/>
      <c r="Z19" s="14">
        <v>1001</v>
      </c>
    </row>
    <row r="20" spans="1:26" x14ac:dyDescent="0.25">
      <c r="A20" s="76">
        <v>13</v>
      </c>
      <c r="B20" s="98"/>
      <c r="C20" s="99"/>
      <c r="D20" s="99"/>
      <c r="E20" s="100"/>
      <c r="F20" s="1" t="str">
        <f>Assembler!M15</f>
        <v/>
      </c>
      <c r="G20" s="9">
        <f t="shared" ref="G20:G71" si="6">E20</f>
        <v>0</v>
      </c>
      <c r="H20" s="9" t="str">
        <f t="shared" si="0"/>
        <v>0</v>
      </c>
      <c r="I20" s="9" t="str">
        <f t="shared" si="1"/>
        <v>0</v>
      </c>
      <c r="J20" s="6">
        <f t="shared" si="2"/>
        <v>0</v>
      </c>
      <c r="K20" s="6">
        <f t="shared" si="3"/>
        <v>0</v>
      </c>
      <c r="L20" s="47">
        <v>6</v>
      </c>
      <c r="M20" s="47">
        <v>13</v>
      </c>
      <c r="N20" s="82">
        <v>1011000</v>
      </c>
      <c r="O20" s="82"/>
      <c r="P20" s="82"/>
      <c r="Q20" s="47">
        <v>2</v>
      </c>
      <c r="R20" s="47">
        <v>1</v>
      </c>
      <c r="S20" s="47">
        <v>19</v>
      </c>
      <c r="T20" s="47">
        <v>20</v>
      </c>
      <c r="U20" s="47"/>
      <c r="V20" s="47"/>
      <c r="W20" s="47">
        <v>1</v>
      </c>
      <c r="X20" s="47">
        <v>1</v>
      </c>
      <c r="Y20" s="47"/>
      <c r="Z20" s="14">
        <v>1011000</v>
      </c>
    </row>
    <row r="21" spans="1:26" x14ac:dyDescent="0.25">
      <c r="A21" s="76">
        <v>14</v>
      </c>
      <c r="B21" s="98"/>
      <c r="C21" s="99"/>
      <c r="D21" s="99"/>
      <c r="E21" s="100"/>
      <c r="F21" s="1" t="str">
        <f>Assembler!M16</f>
        <v/>
      </c>
      <c r="G21" s="9">
        <f t="shared" si="6"/>
        <v>0</v>
      </c>
      <c r="H21" s="9" t="str">
        <f t="shared" si="0"/>
        <v>0</v>
      </c>
      <c r="I21" s="9" t="str">
        <f t="shared" si="1"/>
        <v>0</v>
      </c>
      <c r="J21" s="6">
        <f t="shared" si="2"/>
        <v>0</v>
      </c>
      <c r="K21" s="6">
        <f t="shared" si="3"/>
        <v>0</v>
      </c>
      <c r="L21" s="47">
        <v>7</v>
      </c>
      <c r="M21" s="47">
        <v>15</v>
      </c>
      <c r="N21" s="82">
        <v>1000000</v>
      </c>
      <c r="O21" s="82"/>
      <c r="P21" s="82"/>
      <c r="Q21" s="47">
        <v>1</v>
      </c>
      <c r="R21" s="47">
        <v>1</v>
      </c>
      <c r="S21" s="47">
        <v>19</v>
      </c>
      <c r="T21" s="47">
        <v>20</v>
      </c>
      <c r="U21" s="47"/>
      <c r="V21" s="47"/>
      <c r="W21" s="47">
        <v>1</v>
      </c>
      <c r="X21" s="47">
        <v>1</v>
      </c>
      <c r="Y21" s="47"/>
      <c r="Z21" s="14">
        <v>10001</v>
      </c>
    </row>
    <row r="22" spans="1:26" x14ac:dyDescent="0.25">
      <c r="A22" s="76">
        <v>15</v>
      </c>
      <c r="B22" s="98"/>
      <c r="C22" s="99"/>
      <c r="D22" s="99"/>
      <c r="E22" s="100"/>
      <c r="F22" s="1" t="str">
        <f>Assembler!M17</f>
        <v/>
      </c>
      <c r="G22" s="9">
        <f t="shared" si="6"/>
        <v>0</v>
      </c>
      <c r="H22" s="9" t="str">
        <f t="shared" si="0"/>
        <v>0</v>
      </c>
      <c r="I22" s="9" t="str">
        <f t="shared" si="1"/>
        <v>0</v>
      </c>
      <c r="J22" s="6">
        <f t="shared" si="2"/>
        <v>0</v>
      </c>
      <c r="K22" s="6">
        <f t="shared" si="3"/>
        <v>0</v>
      </c>
      <c r="L22" s="47">
        <v>8</v>
      </c>
      <c r="M22" s="47">
        <v>17</v>
      </c>
      <c r="N22" s="82">
        <v>11001111</v>
      </c>
      <c r="O22" s="82"/>
      <c r="P22" s="82"/>
      <c r="Q22" s="47">
        <v>1</v>
      </c>
      <c r="R22" s="47">
        <v>2</v>
      </c>
      <c r="S22" s="47">
        <v>19</v>
      </c>
      <c r="T22" s="47">
        <v>20</v>
      </c>
      <c r="U22" s="47"/>
      <c r="V22" s="47"/>
      <c r="W22" s="47">
        <v>1</v>
      </c>
      <c r="X22" s="47">
        <v>1</v>
      </c>
      <c r="Y22" s="47"/>
      <c r="Z22" s="14">
        <v>1000000</v>
      </c>
    </row>
    <row r="23" spans="1:26" x14ac:dyDescent="0.25">
      <c r="A23" s="76">
        <v>16</v>
      </c>
      <c r="B23" s="76"/>
      <c r="C23" s="76"/>
      <c r="D23" s="76"/>
      <c r="E23" s="14"/>
      <c r="F23" s="1" t="str">
        <f>Assembler!M18</f>
        <v/>
      </c>
      <c r="G23" s="9">
        <f t="shared" si="6"/>
        <v>0</v>
      </c>
      <c r="H23" s="9" t="str">
        <f t="shared" si="0"/>
        <v>0</v>
      </c>
      <c r="I23" s="9" t="str">
        <f t="shared" si="1"/>
        <v>0</v>
      </c>
      <c r="J23" s="6">
        <f t="shared" si="2"/>
        <v>0</v>
      </c>
      <c r="K23" s="6">
        <f t="shared" si="3"/>
        <v>0</v>
      </c>
      <c r="L23" s="47">
        <v>9</v>
      </c>
      <c r="M23" s="47">
        <v>17</v>
      </c>
      <c r="N23" s="82">
        <v>11001111</v>
      </c>
      <c r="O23" s="82"/>
      <c r="P23" s="82"/>
      <c r="Q23" s="47">
        <v>1</v>
      </c>
      <c r="R23" s="47">
        <v>2</v>
      </c>
      <c r="S23" s="47">
        <v>19</v>
      </c>
      <c r="T23" s="47">
        <v>20</v>
      </c>
      <c r="U23" s="47"/>
      <c r="V23" s="47"/>
      <c r="W23" s="47">
        <v>1</v>
      </c>
      <c r="X23" s="47">
        <v>1</v>
      </c>
      <c r="Y23" s="47"/>
      <c r="Z23" s="14">
        <v>1000</v>
      </c>
    </row>
    <row r="24" spans="1:26" x14ac:dyDescent="0.25">
      <c r="A24" s="76">
        <v>17</v>
      </c>
      <c r="B24" s="76"/>
      <c r="C24" s="76"/>
      <c r="D24" s="76"/>
      <c r="E24" s="14"/>
      <c r="F24" s="1" t="str">
        <f>Assembler!M19</f>
        <v/>
      </c>
      <c r="G24" s="9">
        <f t="shared" si="6"/>
        <v>0</v>
      </c>
      <c r="H24" s="9" t="str">
        <f t="shared" si="0"/>
        <v>0</v>
      </c>
      <c r="I24" s="9" t="str">
        <f t="shared" si="1"/>
        <v>0</v>
      </c>
      <c r="J24" s="6">
        <f t="shared" si="2"/>
        <v>0</v>
      </c>
      <c r="K24" s="6">
        <f t="shared" si="3"/>
        <v>0</v>
      </c>
      <c r="L24" s="47">
        <v>10</v>
      </c>
      <c r="M24" s="47">
        <v>8</v>
      </c>
      <c r="N24" s="82">
        <v>10000100</v>
      </c>
      <c r="O24" s="82"/>
      <c r="P24" s="82"/>
      <c r="Q24" s="47">
        <v>1</v>
      </c>
      <c r="R24" s="47">
        <v>2</v>
      </c>
      <c r="S24" s="47">
        <v>19</v>
      </c>
      <c r="T24" s="47">
        <v>20</v>
      </c>
      <c r="U24" s="47"/>
      <c r="V24" s="47"/>
      <c r="W24" s="47">
        <v>1</v>
      </c>
      <c r="X24" s="47">
        <v>1</v>
      </c>
      <c r="Y24" s="47"/>
      <c r="Z24" s="14">
        <v>11001111</v>
      </c>
    </row>
    <row r="25" spans="1:26" x14ac:dyDescent="0.25">
      <c r="A25" s="76">
        <v>18</v>
      </c>
      <c r="B25" s="76"/>
      <c r="C25" s="76"/>
      <c r="D25" s="76"/>
      <c r="E25" s="14"/>
      <c r="F25" s="1" t="str">
        <f>Assembler!M20</f>
        <v/>
      </c>
      <c r="G25" s="9">
        <f t="shared" si="6"/>
        <v>0</v>
      </c>
      <c r="H25" s="9" t="str">
        <f t="shared" si="0"/>
        <v>0</v>
      </c>
      <c r="I25" s="9" t="str">
        <f t="shared" si="1"/>
        <v>0</v>
      </c>
      <c r="J25" s="6">
        <f t="shared" si="2"/>
        <v>0</v>
      </c>
      <c r="K25" s="6">
        <f t="shared" si="3"/>
        <v>0</v>
      </c>
      <c r="L25" s="47">
        <v>4</v>
      </c>
      <c r="M25" s="47">
        <v>9</v>
      </c>
      <c r="N25" s="82">
        <v>11000</v>
      </c>
      <c r="O25" s="82"/>
      <c r="P25" s="82"/>
      <c r="Q25" s="47">
        <v>3</v>
      </c>
      <c r="R25" s="47">
        <v>2</v>
      </c>
      <c r="S25" s="47">
        <v>19</v>
      </c>
      <c r="T25" s="47">
        <v>20</v>
      </c>
      <c r="U25" s="47"/>
      <c r="V25" s="47"/>
      <c r="W25" s="47">
        <v>1</v>
      </c>
      <c r="X25" s="47">
        <v>1</v>
      </c>
      <c r="Y25" s="47"/>
      <c r="Z25" s="14"/>
    </row>
    <row r="26" spans="1:26" x14ac:dyDescent="0.25">
      <c r="A26" s="76">
        <v>19</v>
      </c>
      <c r="B26" s="76"/>
      <c r="C26" s="76"/>
      <c r="D26" s="76"/>
      <c r="E26" s="14"/>
      <c r="F26" s="1" t="str">
        <f>Assembler!M21</f>
        <v/>
      </c>
      <c r="G26" s="9">
        <f t="shared" si="6"/>
        <v>0</v>
      </c>
      <c r="H26" s="9" t="str">
        <f t="shared" si="0"/>
        <v>0</v>
      </c>
      <c r="I26" s="9" t="str">
        <f t="shared" si="1"/>
        <v>0</v>
      </c>
      <c r="J26" s="6">
        <f t="shared" si="2"/>
        <v>0</v>
      </c>
      <c r="K26" s="6">
        <f t="shared" si="3"/>
        <v>0</v>
      </c>
      <c r="L26" s="47">
        <v>5</v>
      </c>
      <c r="M26" s="47">
        <v>11</v>
      </c>
      <c r="N26" s="82">
        <v>1100</v>
      </c>
      <c r="O26" s="82"/>
      <c r="P26" s="82"/>
      <c r="Q26" s="47">
        <v>3</v>
      </c>
      <c r="R26" s="47">
        <v>2</v>
      </c>
      <c r="S26" s="47">
        <v>19</v>
      </c>
      <c r="T26" s="47">
        <v>20</v>
      </c>
      <c r="U26" s="47"/>
      <c r="V26" s="47"/>
      <c r="W26" s="47">
        <v>1</v>
      </c>
      <c r="X26" s="47">
        <v>1</v>
      </c>
      <c r="Y26" s="47"/>
      <c r="Z26" s="14">
        <v>377</v>
      </c>
    </row>
    <row r="27" spans="1:26" x14ac:dyDescent="0.25">
      <c r="A27" s="76">
        <v>20</v>
      </c>
      <c r="B27" s="76"/>
      <c r="C27" s="76"/>
      <c r="D27" s="76"/>
      <c r="E27" s="14"/>
      <c r="F27" s="1" t="str">
        <f>Assembler!M22</f>
        <v/>
      </c>
      <c r="G27" s="9">
        <f t="shared" si="6"/>
        <v>0</v>
      </c>
      <c r="H27" s="9" t="str">
        <f t="shared" si="0"/>
        <v>0</v>
      </c>
      <c r="I27" s="9" t="str">
        <f t="shared" si="1"/>
        <v>0</v>
      </c>
      <c r="J27" s="6">
        <f t="shared" si="2"/>
        <v>0</v>
      </c>
      <c r="K27" s="6">
        <f t="shared" si="3"/>
        <v>0</v>
      </c>
      <c r="L27" s="47">
        <v>6</v>
      </c>
      <c r="M27" s="47">
        <v>13</v>
      </c>
      <c r="N27" s="82">
        <v>1011000</v>
      </c>
      <c r="O27" s="82"/>
      <c r="P27" s="82"/>
      <c r="Q27" s="47">
        <v>3</v>
      </c>
      <c r="R27" s="47">
        <v>2</v>
      </c>
      <c r="S27" s="47">
        <v>19</v>
      </c>
      <c r="T27" s="47">
        <v>20</v>
      </c>
      <c r="U27" s="47"/>
      <c r="V27" s="47"/>
      <c r="W27" s="47">
        <v>1</v>
      </c>
      <c r="X27" s="47">
        <v>1</v>
      </c>
      <c r="Y27" s="47"/>
      <c r="Z27" s="14">
        <v>233</v>
      </c>
    </row>
    <row r="28" spans="1:26" x14ac:dyDescent="0.25">
      <c r="A28" s="76">
        <v>21</v>
      </c>
      <c r="B28" s="76"/>
      <c r="C28" s="76"/>
      <c r="D28" s="76"/>
      <c r="E28" s="14"/>
      <c r="F28" s="1" t="str">
        <f>Assembler!M23</f>
        <v/>
      </c>
      <c r="G28" s="9">
        <f t="shared" si="6"/>
        <v>0</v>
      </c>
      <c r="H28" s="9" t="str">
        <f t="shared" si="0"/>
        <v>0</v>
      </c>
      <c r="I28" s="9" t="str">
        <f t="shared" si="1"/>
        <v>0</v>
      </c>
      <c r="J28" s="6">
        <f t="shared" si="2"/>
        <v>0</v>
      </c>
      <c r="K28" s="6">
        <f t="shared" si="3"/>
        <v>0</v>
      </c>
      <c r="L28" s="47">
        <v>7</v>
      </c>
      <c r="M28" s="47">
        <v>15</v>
      </c>
      <c r="N28" s="82">
        <v>1000000</v>
      </c>
      <c r="O28" s="82"/>
      <c r="P28" s="82"/>
      <c r="Q28" s="47">
        <v>2</v>
      </c>
      <c r="R28" s="47">
        <v>2</v>
      </c>
      <c r="S28" s="47">
        <v>19</v>
      </c>
      <c r="T28" s="47">
        <v>20</v>
      </c>
      <c r="U28" s="47"/>
      <c r="V28" s="47"/>
      <c r="W28" s="47">
        <v>1</v>
      </c>
      <c r="X28" s="47">
        <v>1</v>
      </c>
      <c r="Y28" s="47"/>
      <c r="Z28" s="14"/>
    </row>
    <row r="29" spans="1:26" x14ac:dyDescent="0.25">
      <c r="A29" s="76">
        <v>22</v>
      </c>
      <c r="B29" s="76"/>
      <c r="C29" s="76"/>
      <c r="D29" s="76"/>
      <c r="E29" s="14"/>
      <c r="F29" s="1" t="str">
        <f>Assembler!M24</f>
        <v/>
      </c>
      <c r="G29" s="9">
        <f t="shared" si="6"/>
        <v>0</v>
      </c>
      <c r="H29" s="9" t="str">
        <f t="shared" si="0"/>
        <v>0</v>
      </c>
      <c r="I29" s="9" t="str">
        <f t="shared" si="1"/>
        <v>0</v>
      </c>
      <c r="J29" s="6">
        <f t="shared" si="2"/>
        <v>0</v>
      </c>
      <c r="K29" s="6">
        <f t="shared" si="3"/>
        <v>0</v>
      </c>
      <c r="L29" s="47">
        <v>8</v>
      </c>
      <c r="M29" s="47">
        <v>17</v>
      </c>
      <c r="N29" s="82">
        <v>11001111</v>
      </c>
      <c r="O29" s="82"/>
      <c r="P29" s="82"/>
      <c r="Q29" s="47">
        <v>2</v>
      </c>
      <c r="R29" s="47">
        <v>3</v>
      </c>
      <c r="S29" s="47">
        <v>19</v>
      </c>
      <c r="T29" s="47">
        <v>20</v>
      </c>
      <c r="U29" s="47"/>
      <c r="V29" s="47"/>
      <c r="W29" s="47">
        <v>1</v>
      </c>
      <c r="X29" s="47">
        <v>1</v>
      </c>
      <c r="Y29" s="47"/>
      <c r="Z29" s="14"/>
    </row>
    <row r="30" spans="1:26" x14ac:dyDescent="0.25">
      <c r="A30" s="76">
        <v>23</v>
      </c>
      <c r="B30" s="76"/>
      <c r="C30" s="76"/>
      <c r="D30" s="76"/>
      <c r="E30" s="14"/>
      <c r="F30" s="1" t="str">
        <f>Assembler!M25</f>
        <v/>
      </c>
      <c r="G30" s="9">
        <f t="shared" si="6"/>
        <v>0</v>
      </c>
      <c r="H30" s="9" t="str">
        <f t="shared" si="0"/>
        <v>0</v>
      </c>
      <c r="I30" s="9" t="str">
        <f t="shared" si="1"/>
        <v>0</v>
      </c>
      <c r="J30" s="6">
        <f t="shared" si="2"/>
        <v>0</v>
      </c>
      <c r="K30" s="6">
        <f t="shared" si="3"/>
        <v>0</v>
      </c>
      <c r="L30" s="47">
        <v>9</v>
      </c>
      <c r="M30" s="47">
        <v>17</v>
      </c>
      <c r="N30" s="82">
        <v>11001111</v>
      </c>
      <c r="O30" s="82"/>
      <c r="P30" s="82"/>
      <c r="Q30" s="47">
        <v>2</v>
      </c>
      <c r="R30" s="47">
        <v>3</v>
      </c>
      <c r="S30" s="47">
        <v>19</v>
      </c>
      <c r="T30" s="47">
        <v>20</v>
      </c>
      <c r="U30" s="47"/>
      <c r="V30" s="47"/>
      <c r="W30" s="47">
        <v>1</v>
      </c>
      <c r="X30" s="47">
        <v>1</v>
      </c>
      <c r="Y30" s="47"/>
      <c r="Z30" s="14"/>
    </row>
    <row r="31" spans="1:26" x14ac:dyDescent="0.25">
      <c r="A31" s="76">
        <v>24</v>
      </c>
      <c r="B31" s="76"/>
      <c r="C31" s="76"/>
      <c r="D31" s="76"/>
      <c r="E31" s="14"/>
      <c r="F31" s="1" t="str">
        <f>Assembler!M26</f>
        <v/>
      </c>
      <c r="G31" s="9">
        <f t="shared" si="6"/>
        <v>0</v>
      </c>
      <c r="H31" s="9" t="str">
        <f t="shared" si="0"/>
        <v>0</v>
      </c>
      <c r="I31" s="9" t="str">
        <f t="shared" si="1"/>
        <v>0</v>
      </c>
      <c r="J31" s="6">
        <f t="shared" si="2"/>
        <v>0</v>
      </c>
      <c r="K31" s="6">
        <f t="shared" si="3"/>
        <v>0</v>
      </c>
      <c r="L31" s="47">
        <v>10</v>
      </c>
      <c r="M31" s="47">
        <v>8</v>
      </c>
      <c r="N31" s="82">
        <v>10000100</v>
      </c>
      <c r="O31" s="82"/>
      <c r="P31" s="82"/>
      <c r="Q31" s="47">
        <v>2</v>
      </c>
      <c r="R31" s="47">
        <v>3</v>
      </c>
      <c r="S31" s="47">
        <v>19</v>
      </c>
      <c r="T31" s="47">
        <v>20</v>
      </c>
      <c r="U31" s="47"/>
      <c r="V31" s="47"/>
      <c r="W31" s="47">
        <v>1</v>
      </c>
      <c r="X31" s="47">
        <v>1</v>
      </c>
      <c r="Y31" s="47"/>
      <c r="Z31" s="14"/>
    </row>
    <row r="32" spans="1:26" x14ac:dyDescent="0.25">
      <c r="A32" s="76">
        <v>25</v>
      </c>
      <c r="B32" s="76"/>
      <c r="C32" s="76"/>
      <c r="D32" s="76"/>
      <c r="E32" s="14"/>
      <c r="F32" s="1" t="str">
        <f>Assembler!M27</f>
        <v/>
      </c>
      <c r="G32" s="9">
        <f t="shared" si="6"/>
        <v>0</v>
      </c>
      <c r="H32" s="9" t="str">
        <f t="shared" si="0"/>
        <v>0</v>
      </c>
      <c r="I32" s="9" t="str">
        <f t="shared" si="1"/>
        <v>0</v>
      </c>
      <c r="J32" s="6">
        <f t="shared" si="2"/>
        <v>0</v>
      </c>
      <c r="K32" s="6">
        <f t="shared" si="3"/>
        <v>0</v>
      </c>
      <c r="L32" s="47">
        <v>4</v>
      </c>
      <c r="M32" s="47">
        <v>9</v>
      </c>
      <c r="N32" s="82">
        <v>11000</v>
      </c>
      <c r="O32" s="82"/>
      <c r="P32" s="82"/>
      <c r="Q32" s="47">
        <v>5</v>
      </c>
      <c r="R32" s="47">
        <v>3</v>
      </c>
      <c r="S32" s="47">
        <v>19</v>
      </c>
      <c r="T32" s="47">
        <v>20</v>
      </c>
      <c r="U32" s="47"/>
      <c r="V32" s="47"/>
      <c r="W32" s="47">
        <v>1</v>
      </c>
      <c r="X32" s="47">
        <v>1</v>
      </c>
      <c r="Y32" s="47"/>
      <c r="Z32" s="14"/>
    </row>
    <row r="33" spans="1:26" x14ac:dyDescent="0.25">
      <c r="A33" s="76">
        <v>26</v>
      </c>
      <c r="B33" s="76"/>
      <c r="C33" s="76"/>
      <c r="D33" s="76"/>
      <c r="E33" s="14"/>
      <c r="F33" s="1" t="str">
        <f>Assembler!M28</f>
        <v/>
      </c>
      <c r="G33" s="9">
        <f t="shared" si="6"/>
        <v>0</v>
      </c>
      <c r="H33" s="9" t="str">
        <f t="shared" si="0"/>
        <v>0</v>
      </c>
      <c r="I33" s="9" t="str">
        <f t="shared" si="1"/>
        <v>0</v>
      </c>
      <c r="J33" s="6">
        <f t="shared" si="2"/>
        <v>0</v>
      </c>
      <c r="K33" s="6">
        <f t="shared" si="3"/>
        <v>0</v>
      </c>
      <c r="L33" s="47">
        <v>5</v>
      </c>
      <c r="M33" s="47">
        <v>11</v>
      </c>
      <c r="N33" s="82">
        <v>1100</v>
      </c>
      <c r="O33" s="82"/>
      <c r="P33" s="82"/>
      <c r="Q33" s="47">
        <v>5</v>
      </c>
      <c r="R33" s="47">
        <v>3</v>
      </c>
      <c r="S33" s="47">
        <v>19</v>
      </c>
      <c r="T33" s="47">
        <v>20</v>
      </c>
      <c r="U33" s="47"/>
      <c r="V33" s="47"/>
      <c r="W33" s="47">
        <v>1</v>
      </c>
      <c r="X33" s="47">
        <v>1</v>
      </c>
      <c r="Y33" s="47"/>
      <c r="Z33" s="14"/>
    </row>
    <row r="34" spans="1:26" x14ac:dyDescent="0.25">
      <c r="A34" s="76">
        <v>27</v>
      </c>
      <c r="B34" s="76"/>
      <c r="C34" s="76"/>
      <c r="D34" s="76"/>
      <c r="E34" s="14"/>
      <c r="F34" s="1" t="str">
        <f>Assembler!M29</f>
        <v/>
      </c>
      <c r="G34" s="9">
        <f t="shared" si="6"/>
        <v>0</v>
      </c>
      <c r="H34" s="9" t="str">
        <f t="shared" si="0"/>
        <v>0</v>
      </c>
      <c r="I34" s="9" t="str">
        <f t="shared" si="1"/>
        <v>0</v>
      </c>
      <c r="J34" s="6">
        <f t="shared" si="2"/>
        <v>0</v>
      </c>
      <c r="K34" s="6">
        <f t="shared" si="3"/>
        <v>0</v>
      </c>
      <c r="L34" s="47">
        <v>6</v>
      </c>
      <c r="M34" s="47">
        <v>13</v>
      </c>
      <c r="N34" s="82">
        <v>1011000</v>
      </c>
      <c r="O34" s="82"/>
      <c r="P34" s="82"/>
      <c r="Q34" s="47">
        <v>5</v>
      </c>
      <c r="R34" s="47">
        <v>3</v>
      </c>
      <c r="S34" s="47">
        <v>19</v>
      </c>
      <c r="T34" s="47">
        <v>20</v>
      </c>
      <c r="U34" s="47"/>
      <c r="V34" s="47"/>
      <c r="W34" s="47">
        <v>1</v>
      </c>
      <c r="X34" s="47">
        <v>1</v>
      </c>
      <c r="Y34" s="47"/>
      <c r="Z34" s="14"/>
    </row>
    <row r="35" spans="1:26" x14ac:dyDescent="0.25">
      <c r="A35" s="76">
        <v>28</v>
      </c>
      <c r="B35" s="76"/>
      <c r="C35" s="76"/>
      <c r="D35" s="76"/>
      <c r="E35" s="14"/>
      <c r="F35" s="1" t="str">
        <f>Assembler!M30</f>
        <v/>
      </c>
      <c r="G35" s="9">
        <f t="shared" si="6"/>
        <v>0</v>
      </c>
      <c r="H35" s="9" t="str">
        <f t="shared" si="0"/>
        <v>0</v>
      </c>
      <c r="I35" s="9" t="str">
        <f t="shared" si="1"/>
        <v>0</v>
      </c>
      <c r="J35" s="6">
        <f t="shared" si="2"/>
        <v>0</v>
      </c>
      <c r="K35" s="6">
        <f t="shared" si="3"/>
        <v>0</v>
      </c>
      <c r="L35" s="47">
        <v>7</v>
      </c>
      <c r="M35" s="47">
        <v>15</v>
      </c>
      <c r="N35" s="82">
        <v>1000000</v>
      </c>
      <c r="O35" s="82"/>
      <c r="P35" s="82"/>
      <c r="Q35" s="47">
        <v>3</v>
      </c>
      <c r="R35" s="47">
        <v>3</v>
      </c>
      <c r="S35" s="47">
        <v>19</v>
      </c>
      <c r="T35" s="47">
        <v>20</v>
      </c>
      <c r="U35" s="47"/>
      <c r="V35" s="47"/>
      <c r="W35" s="47">
        <v>1</v>
      </c>
      <c r="X35" s="47">
        <v>1</v>
      </c>
      <c r="Y35" s="47"/>
      <c r="Z35" s="14"/>
    </row>
    <row r="36" spans="1:26" x14ac:dyDescent="0.25">
      <c r="A36" s="76">
        <v>29</v>
      </c>
      <c r="B36" s="76"/>
      <c r="C36" s="76"/>
      <c r="D36" s="76"/>
      <c r="E36" s="14"/>
      <c r="F36" s="1" t="str">
        <f>Assembler!M31</f>
        <v/>
      </c>
      <c r="G36" s="9">
        <f t="shared" si="6"/>
        <v>0</v>
      </c>
      <c r="H36" s="9" t="str">
        <f t="shared" si="0"/>
        <v>0</v>
      </c>
      <c r="I36" s="9" t="str">
        <f t="shared" si="1"/>
        <v>0</v>
      </c>
      <c r="J36" s="6">
        <f t="shared" si="2"/>
        <v>0</v>
      </c>
      <c r="K36" s="6">
        <f t="shared" si="3"/>
        <v>0</v>
      </c>
      <c r="L36" s="47">
        <v>8</v>
      </c>
      <c r="M36" s="47">
        <v>17</v>
      </c>
      <c r="N36" s="82">
        <v>11001111</v>
      </c>
      <c r="O36" s="82"/>
      <c r="P36" s="82"/>
      <c r="Q36" s="47">
        <v>3</v>
      </c>
      <c r="R36" s="47">
        <v>5</v>
      </c>
      <c r="S36" s="47">
        <v>19</v>
      </c>
      <c r="T36" s="47">
        <v>20</v>
      </c>
      <c r="U36" s="47"/>
      <c r="V36" s="47"/>
      <c r="W36" s="47">
        <v>1</v>
      </c>
      <c r="X36" s="47">
        <v>1</v>
      </c>
      <c r="Y36" s="47"/>
      <c r="Z36" s="14"/>
    </row>
    <row r="37" spans="1:26" x14ac:dyDescent="0.25">
      <c r="A37" s="76">
        <v>30</v>
      </c>
      <c r="B37" s="76"/>
      <c r="C37" s="76"/>
      <c r="D37" s="76"/>
      <c r="E37" s="14"/>
      <c r="F37" s="1" t="str">
        <f>Assembler!M32</f>
        <v/>
      </c>
      <c r="G37" s="9">
        <f t="shared" si="6"/>
        <v>0</v>
      </c>
      <c r="H37" s="9" t="str">
        <f t="shared" si="0"/>
        <v>0</v>
      </c>
      <c r="I37" s="9" t="str">
        <f t="shared" si="1"/>
        <v>0</v>
      </c>
      <c r="J37" s="6">
        <f t="shared" si="2"/>
        <v>0</v>
      </c>
      <c r="K37" s="6">
        <f t="shared" si="3"/>
        <v>0</v>
      </c>
      <c r="L37" s="47">
        <v>9</v>
      </c>
      <c r="M37" s="47">
        <v>17</v>
      </c>
      <c r="N37" s="82">
        <v>11001111</v>
      </c>
      <c r="O37" s="82"/>
      <c r="P37" s="82"/>
      <c r="Q37" s="47">
        <v>3</v>
      </c>
      <c r="R37" s="47">
        <v>5</v>
      </c>
      <c r="S37" s="47">
        <v>19</v>
      </c>
      <c r="T37" s="47">
        <v>20</v>
      </c>
      <c r="U37" s="47"/>
      <c r="V37" s="47"/>
      <c r="W37" s="47">
        <v>1</v>
      </c>
      <c r="X37" s="47">
        <v>1</v>
      </c>
      <c r="Y37" s="47"/>
      <c r="Z37" s="14"/>
    </row>
    <row r="38" spans="1:26" x14ac:dyDescent="0.25">
      <c r="A38" s="76">
        <v>31</v>
      </c>
      <c r="B38" s="76"/>
      <c r="C38" s="76"/>
      <c r="D38" s="76"/>
      <c r="E38" s="14"/>
      <c r="F38" s="1" t="str">
        <f>Assembler!M33</f>
        <v/>
      </c>
      <c r="G38" s="9">
        <f t="shared" si="6"/>
        <v>0</v>
      </c>
      <c r="H38" s="9" t="str">
        <f t="shared" si="0"/>
        <v>0</v>
      </c>
      <c r="I38" s="9" t="str">
        <f t="shared" si="1"/>
        <v>0</v>
      </c>
      <c r="J38" s="6">
        <f t="shared" si="2"/>
        <v>0</v>
      </c>
      <c r="K38" s="6">
        <f t="shared" si="3"/>
        <v>0</v>
      </c>
      <c r="L38" s="47">
        <v>10</v>
      </c>
      <c r="M38" s="47">
        <v>8</v>
      </c>
      <c r="N38" s="82">
        <v>10000100</v>
      </c>
      <c r="O38" s="82"/>
      <c r="P38" s="82"/>
      <c r="Q38" s="47">
        <v>3</v>
      </c>
      <c r="R38" s="47">
        <v>5</v>
      </c>
      <c r="S38" s="47">
        <v>19</v>
      </c>
      <c r="T38" s="47">
        <v>20</v>
      </c>
      <c r="U38" s="47"/>
      <c r="V38" s="47"/>
      <c r="W38" s="47">
        <v>1</v>
      </c>
      <c r="X38" s="47">
        <v>1</v>
      </c>
      <c r="Y38" s="47"/>
      <c r="Z38" s="14"/>
    </row>
    <row r="39" spans="1:26" x14ac:dyDescent="0.25">
      <c r="A39" s="76">
        <v>32</v>
      </c>
      <c r="B39" s="76"/>
      <c r="C39" s="76"/>
      <c r="D39" s="76"/>
      <c r="E39" s="14"/>
      <c r="F39" s="1" t="str">
        <f>Assembler!M34</f>
        <v/>
      </c>
      <c r="G39" s="9">
        <f t="shared" si="6"/>
        <v>0</v>
      </c>
      <c r="H39" s="9" t="str">
        <f t="shared" si="0"/>
        <v>0</v>
      </c>
      <c r="I39" s="9" t="str">
        <f t="shared" si="1"/>
        <v>0</v>
      </c>
      <c r="J39" s="6">
        <f t="shared" si="2"/>
        <v>0</v>
      </c>
      <c r="K39" s="6">
        <f t="shared" si="3"/>
        <v>0</v>
      </c>
      <c r="L39" s="47">
        <v>4</v>
      </c>
      <c r="M39" s="47">
        <v>9</v>
      </c>
      <c r="N39" s="82">
        <v>11000</v>
      </c>
      <c r="O39" s="82"/>
      <c r="P39" s="82"/>
      <c r="Q39" s="47">
        <v>8</v>
      </c>
      <c r="R39" s="47">
        <v>5</v>
      </c>
      <c r="S39" s="47">
        <v>19</v>
      </c>
      <c r="T39" s="47">
        <v>20</v>
      </c>
      <c r="U39" s="47"/>
      <c r="V39" s="47"/>
      <c r="W39" s="47">
        <v>1</v>
      </c>
      <c r="X39" s="47">
        <v>1</v>
      </c>
      <c r="Y39" s="47"/>
      <c r="Z39" s="14"/>
    </row>
    <row r="40" spans="1:26" x14ac:dyDescent="0.25">
      <c r="A40" s="76">
        <v>33</v>
      </c>
      <c r="B40" s="76"/>
      <c r="C40" s="76"/>
      <c r="D40" s="76"/>
      <c r="E40" s="14"/>
      <c r="F40" s="1" t="str">
        <f>Assembler!M35</f>
        <v/>
      </c>
      <c r="G40" s="9">
        <f t="shared" si="6"/>
        <v>0</v>
      </c>
      <c r="H40" s="9" t="str">
        <f t="shared" si="0"/>
        <v>0</v>
      </c>
      <c r="I40" s="9" t="str">
        <f t="shared" si="1"/>
        <v>0</v>
      </c>
      <c r="J40" s="6">
        <f t="shared" si="2"/>
        <v>0</v>
      </c>
      <c r="K40" s="6">
        <f t="shared" si="3"/>
        <v>0</v>
      </c>
      <c r="L40" s="47">
        <v>5</v>
      </c>
      <c r="M40" s="47">
        <v>11</v>
      </c>
      <c r="N40" s="82">
        <v>1100</v>
      </c>
      <c r="O40" s="82"/>
      <c r="P40" s="82"/>
      <c r="Q40" s="47">
        <v>8</v>
      </c>
      <c r="R40" s="47">
        <v>5</v>
      </c>
      <c r="S40" s="47">
        <v>19</v>
      </c>
      <c r="T40" s="47">
        <v>20</v>
      </c>
      <c r="U40" s="47"/>
      <c r="V40" s="47"/>
      <c r="W40" s="47">
        <v>1</v>
      </c>
      <c r="X40" s="47">
        <v>1</v>
      </c>
      <c r="Y40" s="47"/>
      <c r="Z40" s="14"/>
    </row>
    <row r="41" spans="1:26" x14ac:dyDescent="0.25">
      <c r="A41" s="76">
        <v>34</v>
      </c>
      <c r="B41" s="76"/>
      <c r="C41" s="76"/>
      <c r="D41" s="76"/>
      <c r="E41" s="14"/>
      <c r="F41" s="1" t="str">
        <f>Assembler!M36</f>
        <v/>
      </c>
      <c r="G41" s="9">
        <f t="shared" si="6"/>
        <v>0</v>
      </c>
      <c r="H41" s="9" t="str">
        <f t="shared" si="0"/>
        <v>0</v>
      </c>
      <c r="I41" s="9" t="str">
        <f t="shared" si="1"/>
        <v>0</v>
      </c>
      <c r="J41" s="6">
        <f t="shared" si="2"/>
        <v>0</v>
      </c>
      <c r="K41" s="6">
        <f t="shared" si="3"/>
        <v>0</v>
      </c>
      <c r="L41" s="47">
        <v>6</v>
      </c>
      <c r="M41" s="47">
        <v>13</v>
      </c>
      <c r="N41" s="82">
        <v>1011000</v>
      </c>
      <c r="O41" s="82"/>
      <c r="P41" s="82"/>
      <c r="Q41" s="47">
        <v>8</v>
      </c>
      <c r="R41" s="47">
        <v>5</v>
      </c>
      <c r="S41" s="47">
        <v>19</v>
      </c>
      <c r="T41" s="47">
        <v>20</v>
      </c>
      <c r="U41" s="47"/>
      <c r="V41" s="47"/>
      <c r="W41" s="47">
        <v>1</v>
      </c>
      <c r="X41" s="47">
        <v>1</v>
      </c>
      <c r="Y41" s="47"/>
      <c r="Z41" s="14"/>
    </row>
    <row r="42" spans="1:26" x14ac:dyDescent="0.25">
      <c r="A42" s="76">
        <v>35</v>
      </c>
      <c r="B42" s="76"/>
      <c r="C42" s="76"/>
      <c r="D42" s="76"/>
      <c r="E42" s="14"/>
      <c r="F42" s="1" t="str">
        <f>Assembler!M37</f>
        <v/>
      </c>
      <c r="G42" s="9">
        <f t="shared" si="6"/>
        <v>0</v>
      </c>
      <c r="H42" s="9" t="str">
        <f t="shared" si="0"/>
        <v>0</v>
      </c>
      <c r="I42" s="9" t="str">
        <f t="shared" si="1"/>
        <v>0</v>
      </c>
      <c r="J42" s="6">
        <f t="shared" si="2"/>
        <v>0</v>
      </c>
      <c r="K42" s="6">
        <f t="shared" si="3"/>
        <v>0</v>
      </c>
      <c r="L42" s="47">
        <v>7</v>
      </c>
      <c r="M42" s="47">
        <v>15</v>
      </c>
      <c r="N42" s="82">
        <v>1000000</v>
      </c>
      <c r="O42" s="82"/>
      <c r="P42" s="82"/>
      <c r="Q42" s="47">
        <v>5</v>
      </c>
      <c r="R42" s="47">
        <v>5</v>
      </c>
      <c r="S42" s="47">
        <v>19</v>
      </c>
      <c r="T42" s="47">
        <v>20</v>
      </c>
      <c r="U42" s="47"/>
      <c r="V42" s="47"/>
      <c r="W42" s="47">
        <v>1</v>
      </c>
      <c r="X42" s="47">
        <v>1</v>
      </c>
      <c r="Y42" s="47"/>
      <c r="Z42" s="14"/>
    </row>
    <row r="43" spans="1:26" x14ac:dyDescent="0.25">
      <c r="A43" s="76">
        <v>36</v>
      </c>
      <c r="B43" s="76"/>
      <c r="C43" s="76"/>
      <c r="D43" s="76"/>
      <c r="E43" s="14"/>
      <c r="F43" s="1" t="str">
        <f>Assembler!M38</f>
        <v/>
      </c>
      <c r="G43" s="9">
        <f t="shared" si="6"/>
        <v>0</v>
      </c>
      <c r="H43" s="9" t="str">
        <f t="shared" si="0"/>
        <v>0</v>
      </c>
      <c r="I43" s="9" t="str">
        <f t="shared" si="1"/>
        <v>0</v>
      </c>
      <c r="J43" s="6">
        <f t="shared" si="2"/>
        <v>0</v>
      </c>
      <c r="K43" s="6">
        <f t="shared" si="3"/>
        <v>0</v>
      </c>
      <c r="L43" s="47">
        <v>8</v>
      </c>
      <c r="M43" s="47">
        <v>17</v>
      </c>
      <c r="N43" s="82">
        <v>11001111</v>
      </c>
      <c r="O43" s="82"/>
      <c r="P43" s="82"/>
      <c r="Q43" s="47">
        <v>5</v>
      </c>
      <c r="R43" s="47">
        <v>8</v>
      </c>
      <c r="S43" s="47">
        <v>19</v>
      </c>
      <c r="T43" s="47">
        <v>20</v>
      </c>
      <c r="U43" s="47"/>
      <c r="V43" s="47"/>
      <c r="W43" s="47">
        <v>1</v>
      </c>
      <c r="X43" s="47">
        <v>1</v>
      </c>
      <c r="Y43" s="47"/>
      <c r="Z43" s="14"/>
    </row>
    <row r="44" spans="1:26" x14ac:dyDescent="0.25">
      <c r="A44" s="76">
        <v>37</v>
      </c>
      <c r="B44" s="76"/>
      <c r="C44" s="76"/>
      <c r="D44" s="76"/>
      <c r="E44" s="14"/>
      <c r="F44" s="1" t="str">
        <f>Assembler!M39</f>
        <v/>
      </c>
      <c r="G44" s="9">
        <f t="shared" si="6"/>
        <v>0</v>
      </c>
      <c r="H44" s="9" t="str">
        <f t="shared" si="0"/>
        <v>0</v>
      </c>
      <c r="I44" s="9" t="str">
        <f t="shared" si="1"/>
        <v>0</v>
      </c>
      <c r="J44" s="6">
        <f t="shared" si="2"/>
        <v>0</v>
      </c>
      <c r="K44" s="6">
        <f t="shared" si="3"/>
        <v>0</v>
      </c>
      <c r="L44" s="47">
        <v>9</v>
      </c>
      <c r="M44" s="47">
        <v>17</v>
      </c>
      <c r="N44" s="82">
        <v>11001111</v>
      </c>
      <c r="O44" s="82"/>
      <c r="P44" s="82"/>
      <c r="Q44" s="47">
        <v>5</v>
      </c>
      <c r="R44" s="47">
        <v>8</v>
      </c>
      <c r="S44" s="47">
        <v>19</v>
      </c>
      <c r="T44" s="47">
        <v>20</v>
      </c>
      <c r="U44" s="47"/>
      <c r="V44" s="47"/>
      <c r="W44" s="47">
        <v>1</v>
      </c>
      <c r="X44" s="47">
        <v>1</v>
      </c>
      <c r="Y44" s="47"/>
      <c r="Z44" s="14"/>
    </row>
    <row r="45" spans="1:26" x14ac:dyDescent="0.25">
      <c r="A45" s="76">
        <v>38</v>
      </c>
      <c r="B45" s="76"/>
      <c r="C45" s="76"/>
      <c r="D45" s="76"/>
      <c r="E45" s="14"/>
      <c r="F45" s="1" t="str">
        <f>Assembler!M40</f>
        <v/>
      </c>
      <c r="G45" s="9">
        <f t="shared" si="6"/>
        <v>0</v>
      </c>
      <c r="H45" s="9" t="str">
        <f t="shared" si="0"/>
        <v>0</v>
      </c>
      <c r="I45" s="9" t="str">
        <f t="shared" si="1"/>
        <v>0</v>
      </c>
      <c r="J45" s="6">
        <f t="shared" si="2"/>
        <v>0</v>
      </c>
      <c r="K45" s="6">
        <f t="shared" si="3"/>
        <v>0</v>
      </c>
      <c r="L45" s="47">
        <v>10</v>
      </c>
      <c r="M45" s="47">
        <v>8</v>
      </c>
      <c r="N45" s="82">
        <v>10000100</v>
      </c>
      <c r="O45" s="82"/>
      <c r="P45" s="82"/>
      <c r="Q45" s="47">
        <v>5</v>
      </c>
      <c r="R45" s="47">
        <v>8</v>
      </c>
      <c r="S45" s="47">
        <v>19</v>
      </c>
      <c r="T45" s="47">
        <v>20</v>
      </c>
      <c r="U45" s="47"/>
      <c r="V45" s="47"/>
      <c r="W45" s="47">
        <v>1</v>
      </c>
      <c r="X45" s="47">
        <v>1</v>
      </c>
      <c r="Y45" s="47"/>
      <c r="Z45" s="14"/>
    </row>
    <row r="46" spans="1:26" x14ac:dyDescent="0.25">
      <c r="A46" s="76">
        <v>39</v>
      </c>
      <c r="B46" s="76"/>
      <c r="C46" s="76"/>
      <c r="D46" s="76"/>
      <c r="E46" s="14"/>
      <c r="F46" s="1" t="str">
        <f>Assembler!M41</f>
        <v/>
      </c>
      <c r="G46" s="9">
        <f t="shared" si="6"/>
        <v>0</v>
      </c>
      <c r="H46" s="9" t="str">
        <f t="shared" si="0"/>
        <v>0</v>
      </c>
      <c r="I46" s="9" t="str">
        <f t="shared" si="1"/>
        <v>0</v>
      </c>
      <c r="J46" s="6">
        <f t="shared" si="2"/>
        <v>0</v>
      </c>
      <c r="K46" s="6">
        <f t="shared" si="3"/>
        <v>0</v>
      </c>
      <c r="L46" s="47">
        <v>4</v>
      </c>
      <c r="M46" s="47">
        <v>9</v>
      </c>
      <c r="N46" s="82">
        <v>11000</v>
      </c>
      <c r="O46" s="82"/>
      <c r="P46" s="82"/>
      <c r="Q46" s="47">
        <v>13</v>
      </c>
      <c r="R46" s="47">
        <v>8</v>
      </c>
      <c r="S46" s="47">
        <v>19</v>
      </c>
      <c r="T46" s="47">
        <v>20</v>
      </c>
      <c r="U46" s="47"/>
      <c r="V46" s="47"/>
      <c r="W46" s="47">
        <v>1</v>
      </c>
      <c r="X46" s="47">
        <v>1</v>
      </c>
      <c r="Y46" s="47"/>
      <c r="Z46" s="14"/>
    </row>
    <row r="47" spans="1:26" x14ac:dyDescent="0.25">
      <c r="A47" s="76">
        <v>40</v>
      </c>
      <c r="B47" s="76"/>
      <c r="C47" s="76"/>
      <c r="D47" s="76"/>
      <c r="E47" s="14"/>
      <c r="F47" s="1" t="str">
        <f>Assembler!M42</f>
        <v/>
      </c>
      <c r="G47" s="9">
        <f t="shared" si="6"/>
        <v>0</v>
      </c>
      <c r="H47" s="9" t="str">
        <f t="shared" si="0"/>
        <v>0</v>
      </c>
      <c r="I47" s="9" t="str">
        <f t="shared" si="1"/>
        <v>0</v>
      </c>
      <c r="J47" s="6">
        <f t="shared" si="2"/>
        <v>0</v>
      </c>
      <c r="K47" s="6">
        <f t="shared" si="3"/>
        <v>0</v>
      </c>
      <c r="L47" s="47">
        <v>5</v>
      </c>
      <c r="M47" s="47">
        <v>11</v>
      </c>
      <c r="N47" s="82">
        <v>1100</v>
      </c>
      <c r="O47" s="82"/>
      <c r="P47" s="82"/>
      <c r="Q47" s="47">
        <v>13</v>
      </c>
      <c r="R47" s="47">
        <v>8</v>
      </c>
      <c r="S47" s="47">
        <v>19</v>
      </c>
      <c r="T47" s="47">
        <v>20</v>
      </c>
      <c r="U47" s="47"/>
      <c r="V47" s="47"/>
      <c r="W47" s="47">
        <v>1</v>
      </c>
      <c r="X47" s="47">
        <v>1</v>
      </c>
      <c r="Y47" s="47"/>
      <c r="Z47" s="14"/>
    </row>
    <row r="48" spans="1:26" x14ac:dyDescent="0.25">
      <c r="A48" s="76">
        <v>41</v>
      </c>
      <c r="B48" s="76"/>
      <c r="C48" s="76"/>
      <c r="D48" s="76"/>
      <c r="E48" s="14"/>
      <c r="F48" s="1" t="str">
        <f>Assembler!M43</f>
        <v/>
      </c>
      <c r="G48" s="9">
        <f t="shared" si="6"/>
        <v>0</v>
      </c>
      <c r="H48" s="9" t="str">
        <f t="shared" si="0"/>
        <v>0</v>
      </c>
      <c r="I48" s="9" t="str">
        <f t="shared" si="1"/>
        <v>0</v>
      </c>
      <c r="J48" s="6">
        <f t="shared" si="2"/>
        <v>0</v>
      </c>
      <c r="K48" s="6">
        <f t="shared" si="3"/>
        <v>0</v>
      </c>
      <c r="L48" s="47">
        <v>6</v>
      </c>
      <c r="M48" s="47">
        <v>13</v>
      </c>
      <c r="N48" s="82">
        <v>1011000</v>
      </c>
      <c r="O48" s="82"/>
      <c r="P48" s="82"/>
      <c r="Q48" s="47">
        <v>13</v>
      </c>
      <c r="R48" s="47">
        <v>8</v>
      </c>
      <c r="S48" s="47">
        <v>19</v>
      </c>
      <c r="T48" s="47">
        <v>20</v>
      </c>
      <c r="U48" s="47"/>
      <c r="V48" s="47"/>
      <c r="W48" s="47">
        <v>1</v>
      </c>
      <c r="X48" s="47">
        <v>1</v>
      </c>
      <c r="Y48" s="47"/>
      <c r="Z48" s="14"/>
    </row>
    <row r="49" spans="1:26" x14ac:dyDescent="0.25">
      <c r="A49" s="76">
        <v>42</v>
      </c>
      <c r="B49" s="76"/>
      <c r="C49" s="76"/>
      <c r="D49" s="76"/>
      <c r="E49" s="14"/>
      <c r="F49" s="1" t="str">
        <f>Assembler!M44</f>
        <v/>
      </c>
      <c r="G49" s="9">
        <f t="shared" si="6"/>
        <v>0</v>
      </c>
      <c r="H49" s="9" t="str">
        <f t="shared" si="0"/>
        <v>0</v>
      </c>
      <c r="I49" s="9" t="str">
        <f t="shared" si="1"/>
        <v>0</v>
      </c>
      <c r="J49" s="6">
        <f t="shared" si="2"/>
        <v>0</v>
      </c>
      <c r="K49" s="6">
        <f t="shared" si="3"/>
        <v>0</v>
      </c>
      <c r="L49" s="47">
        <v>7</v>
      </c>
      <c r="M49" s="47">
        <v>15</v>
      </c>
      <c r="N49" s="82">
        <v>1000000</v>
      </c>
      <c r="O49" s="82"/>
      <c r="P49" s="82"/>
      <c r="Q49" s="47">
        <v>8</v>
      </c>
      <c r="R49" s="47">
        <v>8</v>
      </c>
      <c r="S49" s="47">
        <v>19</v>
      </c>
      <c r="T49" s="47">
        <v>20</v>
      </c>
      <c r="U49" s="47"/>
      <c r="V49" s="47"/>
      <c r="W49" s="47">
        <v>1</v>
      </c>
      <c r="X49" s="47">
        <v>1</v>
      </c>
      <c r="Y49" s="47"/>
      <c r="Z49" s="14"/>
    </row>
    <row r="50" spans="1:26" x14ac:dyDescent="0.25">
      <c r="A50" s="76">
        <v>43</v>
      </c>
      <c r="B50" s="76"/>
      <c r="C50" s="76"/>
      <c r="D50" s="76"/>
      <c r="E50" s="14"/>
      <c r="F50" s="1" t="str">
        <f>Assembler!M45</f>
        <v/>
      </c>
      <c r="G50" s="9">
        <f t="shared" si="6"/>
        <v>0</v>
      </c>
      <c r="H50" s="9" t="str">
        <f t="shared" si="0"/>
        <v>0</v>
      </c>
      <c r="I50" s="9" t="str">
        <f t="shared" si="1"/>
        <v>0</v>
      </c>
      <c r="J50" s="6">
        <f t="shared" si="2"/>
        <v>0</v>
      </c>
      <c r="K50" s="6">
        <f t="shared" si="3"/>
        <v>0</v>
      </c>
      <c r="L50" s="47">
        <v>8</v>
      </c>
      <c r="M50" s="47">
        <v>17</v>
      </c>
      <c r="N50" s="82">
        <v>11001111</v>
      </c>
      <c r="O50" s="82"/>
      <c r="P50" s="82"/>
      <c r="Q50" s="47">
        <v>8</v>
      </c>
      <c r="R50" s="47">
        <v>13</v>
      </c>
      <c r="S50" s="47">
        <v>19</v>
      </c>
      <c r="T50" s="47">
        <v>20</v>
      </c>
      <c r="U50" s="47"/>
      <c r="V50" s="47"/>
      <c r="W50" s="47">
        <v>1</v>
      </c>
      <c r="X50" s="47">
        <v>1</v>
      </c>
      <c r="Y50" s="47"/>
      <c r="Z50" s="14"/>
    </row>
    <row r="51" spans="1:26" x14ac:dyDescent="0.25">
      <c r="A51" s="76">
        <v>44</v>
      </c>
      <c r="B51" s="76"/>
      <c r="C51" s="76"/>
      <c r="D51" s="76"/>
      <c r="E51" s="14"/>
      <c r="F51" s="1" t="str">
        <f>Assembler!M46</f>
        <v/>
      </c>
      <c r="G51" s="9">
        <f t="shared" si="6"/>
        <v>0</v>
      </c>
      <c r="H51" s="9" t="str">
        <f t="shared" si="0"/>
        <v>0</v>
      </c>
      <c r="I51" s="9" t="str">
        <f t="shared" si="1"/>
        <v>0</v>
      </c>
      <c r="J51" s="6">
        <f t="shared" si="2"/>
        <v>0</v>
      </c>
      <c r="K51" s="6">
        <f t="shared" si="3"/>
        <v>0</v>
      </c>
      <c r="L51" s="47">
        <v>9</v>
      </c>
      <c r="M51" s="47">
        <v>17</v>
      </c>
      <c r="N51" s="82">
        <v>11001111</v>
      </c>
      <c r="O51" s="82"/>
      <c r="P51" s="82"/>
      <c r="Q51" s="47">
        <v>8</v>
      </c>
      <c r="R51" s="47">
        <v>13</v>
      </c>
      <c r="S51" s="47">
        <v>19</v>
      </c>
      <c r="T51" s="47">
        <v>20</v>
      </c>
      <c r="U51" s="47"/>
      <c r="V51" s="47"/>
      <c r="W51" s="47">
        <v>1</v>
      </c>
      <c r="X51" s="47">
        <v>1</v>
      </c>
      <c r="Y51" s="47"/>
      <c r="Z51" s="14"/>
    </row>
    <row r="52" spans="1:26" x14ac:dyDescent="0.25">
      <c r="A52" s="76">
        <v>45</v>
      </c>
      <c r="B52" s="76"/>
      <c r="C52" s="76"/>
      <c r="D52" s="76"/>
      <c r="E52" s="14"/>
      <c r="F52" s="1" t="str">
        <f>Assembler!M47</f>
        <v/>
      </c>
      <c r="G52" s="9">
        <f t="shared" si="6"/>
        <v>0</v>
      </c>
      <c r="H52" s="9" t="str">
        <f t="shared" si="0"/>
        <v>0</v>
      </c>
      <c r="I52" s="9" t="str">
        <f t="shared" si="1"/>
        <v>0</v>
      </c>
      <c r="J52" s="6">
        <f t="shared" si="2"/>
        <v>0</v>
      </c>
      <c r="K52" s="6">
        <f t="shared" si="3"/>
        <v>0</v>
      </c>
      <c r="L52" s="47">
        <v>10</v>
      </c>
      <c r="M52" s="47">
        <v>8</v>
      </c>
      <c r="N52" s="82">
        <v>10000100</v>
      </c>
      <c r="O52" s="82"/>
      <c r="P52" s="82"/>
      <c r="Q52" s="47">
        <v>8</v>
      </c>
      <c r="R52" s="47">
        <v>13</v>
      </c>
      <c r="S52" s="47">
        <v>19</v>
      </c>
      <c r="T52" s="47">
        <v>20</v>
      </c>
      <c r="U52" s="47"/>
      <c r="V52" s="47"/>
      <c r="W52" s="47">
        <v>1</v>
      </c>
      <c r="X52" s="47">
        <v>1</v>
      </c>
      <c r="Y52" s="47"/>
      <c r="Z52" s="14"/>
    </row>
    <row r="53" spans="1:26" x14ac:dyDescent="0.25">
      <c r="A53" s="76">
        <v>46</v>
      </c>
      <c r="B53" s="76"/>
      <c r="C53" s="76"/>
      <c r="D53" s="76"/>
      <c r="E53" s="14"/>
      <c r="F53" s="1" t="str">
        <f>Assembler!M48</f>
        <v/>
      </c>
      <c r="G53" s="9">
        <f t="shared" si="6"/>
        <v>0</v>
      </c>
      <c r="H53" s="9" t="str">
        <f t="shared" si="0"/>
        <v>0</v>
      </c>
      <c r="I53" s="9" t="str">
        <f t="shared" si="1"/>
        <v>0</v>
      </c>
      <c r="J53" s="6">
        <f t="shared" si="2"/>
        <v>0</v>
      </c>
      <c r="K53" s="6">
        <f t="shared" si="3"/>
        <v>0</v>
      </c>
      <c r="L53" s="47">
        <v>4</v>
      </c>
      <c r="M53" s="47">
        <v>9</v>
      </c>
      <c r="N53" s="82">
        <v>11000</v>
      </c>
      <c r="O53" s="82"/>
      <c r="P53" s="82"/>
      <c r="Q53" s="47">
        <v>21</v>
      </c>
      <c r="R53" s="47">
        <v>13</v>
      </c>
      <c r="S53" s="47">
        <v>19</v>
      </c>
      <c r="T53" s="47">
        <v>20</v>
      </c>
      <c r="U53" s="47"/>
      <c r="V53" s="47"/>
      <c r="W53" s="47">
        <v>1</v>
      </c>
      <c r="X53" s="47">
        <v>1</v>
      </c>
      <c r="Y53" s="47"/>
      <c r="Z53" s="14"/>
    </row>
    <row r="54" spans="1:26" x14ac:dyDescent="0.25">
      <c r="A54" s="76">
        <v>47</v>
      </c>
      <c r="B54" s="76"/>
      <c r="C54" s="76"/>
      <c r="D54" s="76"/>
      <c r="E54" s="14"/>
      <c r="F54" s="1" t="str">
        <f>Assembler!M49</f>
        <v/>
      </c>
      <c r="G54" s="9">
        <f t="shared" si="6"/>
        <v>0</v>
      </c>
      <c r="H54" s="9" t="str">
        <f t="shared" si="0"/>
        <v>0</v>
      </c>
      <c r="I54" s="9" t="str">
        <f t="shared" si="1"/>
        <v>0</v>
      </c>
      <c r="J54" s="6">
        <f t="shared" si="2"/>
        <v>0</v>
      </c>
      <c r="K54" s="6">
        <f t="shared" si="3"/>
        <v>0</v>
      </c>
      <c r="L54" s="47">
        <v>5</v>
      </c>
      <c r="M54" s="47">
        <v>11</v>
      </c>
      <c r="N54" s="82">
        <v>1100</v>
      </c>
      <c r="O54" s="82"/>
      <c r="P54" s="82"/>
      <c r="Q54" s="47">
        <v>21</v>
      </c>
      <c r="R54" s="47">
        <v>13</v>
      </c>
      <c r="S54" s="47">
        <v>19</v>
      </c>
      <c r="T54" s="47">
        <v>20</v>
      </c>
      <c r="U54" s="47"/>
      <c r="V54" s="47"/>
      <c r="W54" s="47">
        <v>1</v>
      </c>
      <c r="X54" s="47">
        <v>1</v>
      </c>
      <c r="Y54" s="47"/>
      <c r="Z54" s="14"/>
    </row>
    <row r="55" spans="1:26" x14ac:dyDescent="0.25">
      <c r="A55" s="76">
        <v>48</v>
      </c>
      <c r="B55" s="76"/>
      <c r="C55" s="76"/>
      <c r="D55" s="76"/>
      <c r="E55" s="14"/>
      <c r="F55" s="1" t="str">
        <f>Assembler!M50</f>
        <v/>
      </c>
      <c r="G55" s="9">
        <f t="shared" si="6"/>
        <v>0</v>
      </c>
      <c r="H55" s="9" t="str">
        <f t="shared" si="0"/>
        <v>0</v>
      </c>
      <c r="I55" s="9" t="str">
        <f t="shared" si="1"/>
        <v>0</v>
      </c>
      <c r="J55" s="6">
        <f t="shared" si="2"/>
        <v>0</v>
      </c>
      <c r="K55" s="6">
        <f t="shared" si="3"/>
        <v>0</v>
      </c>
      <c r="L55" s="47">
        <v>6</v>
      </c>
      <c r="M55" s="47">
        <v>13</v>
      </c>
      <c r="N55" s="82">
        <v>1011000</v>
      </c>
      <c r="O55" s="82"/>
      <c r="P55" s="82"/>
      <c r="Q55" s="47">
        <v>21</v>
      </c>
      <c r="R55" s="47">
        <v>13</v>
      </c>
      <c r="S55" s="47">
        <v>19</v>
      </c>
      <c r="T55" s="47">
        <v>20</v>
      </c>
      <c r="U55" s="47"/>
      <c r="V55" s="47"/>
      <c r="W55" s="47">
        <v>1</v>
      </c>
      <c r="X55" s="47">
        <v>1</v>
      </c>
      <c r="Y55" s="47"/>
      <c r="Z55" s="14"/>
    </row>
    <row r="56" spans="1:26" x14ac:dyDescent="0.25">
      <c r="A56" s="76">
        <v>49</v>
      </c>
      <c r="B56" s="76"/>
      <c r="C56" s="76"/>
      <c r="D56" s="76"/>
      <c r="E56" s="14"/>
      <c r="F56" s="1" t="str">
        <f>Assembler!M51</f>
        <v/>
      </c>
      <c r="G56" s="9">
        <f t="shared" si="6"/>
        <v>0</v>
      </c>
      <c r="H56" s="9" t="str">
        <f t="shared" si="0"/>
        <v>0</v>
      </c>
      <c r="I56" s="9" t="str">
        <f t="shared" si="1"/>
        <v>0</v>
      </c>
      <c r="J56" s="6">
        <f t="shared" si="2"/>
        <v>0</v>
      </c>
      <c r="K56" s="6">
        <f t="shared" si="3"/>
        <v>0</v>
      </c>
      <c r="L56" s="47">
        <v>7</v>
      </c>
      <c r="M56" s="47">
        <v>15</v>
      </c>
      <c r="N56" s="82">
        <v>1000000</v>
      </c>
      <c r="O56" s="82"/>
      <c r="P56" s="82"/>
      <c r="Q56" s="47">
        <v>13</v>
      </c>
      <c r="R56" s="47">
        <v>13</v>
      </c>
      <c r="S56" s="47">
        <v>19</v>
      </c>
      <c r="T56" s="47">
        <v>20</v>
      </c>
      <c r="U56" s="47"/>
      <c r="V56" s="47"/>
      <c r="W56" s="47">
        <v>1</v>
      </c>
      <c r="X56" s="47">
        <v>1</v>
      </c>
      <c r="Y56" s="47"/>
      <c r="Z56" s="14"/>
    </row>
    <row r="57" spans="1:26" x14ac:dyDescent="0.25">
      <c r="A57" s="76">
        <v>50</v>
      </c>
      <c r="B57" s="76"/>
      <c r="C57" s="76"/>
      <c r="D57" s="76"/>
      <c r="E57" s="14"/>
      <c r="F57" s="1" t="str">
        <f>Assembler!M52</f>
        <v/>
      </c>
      <c r="G57" s="9">
        <f t="shared" si="6"/>
        <v>0</v>
      </c>
      <c r="H57" s="9" t="str">
        <f t="shared" si="0"/>
        <v>0</v>
      </c>
      <c r="I57" s="9" t="str">
        <f t="shared" si="1"/>
        <v>0</v>
      </c>
      <c r="J57" s="6">
        <f t="shared" si="2"/>
        <v>0</v>
      </c>
      <c r="K57" s="6">
        <f t="shared" si="3"/>
        <v>0</v>
      </c>
      <c r="L57" s="47">
        <v>8</v>
      </c>
      <c r="M57" s="47">
        <v>17</v>
      </c>
      <c r="N57" s="82">
        <v>11001111</v>
      </c>
      <c r="O57" s="82"/>
      <c r="P57" s="82"/>
      <c r="Q57" s="47">
        <v>13</v>
      </c>
      <c r="R57" s="47">
        <v>21</v>
      </c>
      <c r="S57" s="47">
        <v>19</v>
      </c>
      <c r="T57" s="47">
        <v>20</v>
      </c>
      <c r="U57" s="47"/>
      <c r="V57" s="47"/>
      <c r="W57" s="47">
        <v>1</v>
      </c>
      <c r="X57" s="47">
        <v>1</v>
      </c>
      <c r="Y57" s="47"/>
      <c r="Z57" s="14"/>
    </row>
    <row r="58" spans="1:26" x14ac:dyDescent="0.25">
      <c r="A58" s="76">
        <v>51</v>
      </c>
      <c r="B58" s="76"/>
      <c r="C58" s="76"/>
      <c r="D58" s="76"/>
      <c r="E58" s="14"/>
      <c r="F58" s="1" t="str">
        <f>Assembler!M53</f>
        <v/>
      </c>
      <c r="G58" s="9">
        <f t="shared" si="6"/>
        <v>0</v>
      </c>
      <c r="H58" s="9" t="str">
        <f t="shared" si="0"/>
        <v>0</v>
      </c>
      <c r="I58" s="9" t="str">
        <f t="shared" si="1"/>
        <v>0</v>
      </c>
      <c r="J58" s="6">
        <f t="shared" si="2"/>
        <v>0</v>
      </c>
      <c r="K58" s="6">
        <f t="shared" si="3"/>
        <v>0</v>
      </c>
      <c r="L58" s="47">
        <v>9</v>
      </c>
      <c r="M58" s="47">
        <v>17</v>
      </c>
      <c r="N58" s="82">
        <v>11001111</v>
      </c>
      <c r="O58" s="82"/>
      <c r="P58" s="82"/>
      <c r="Q58" s="47">
        <v>13</v>
      </c>
      <c r="R58" s="47">
        <v>21</v>
      </c>
      <c r="S58" s="47">
        <v>19</v>
      </c>
      <c r="T58" s="47">
        <v>20</v>
      </c>
      <c r="U58" s="47"/>
      <c r="V58" s="47"/>
      <c r="W58" s="47">
        <v>1</v>
      </c>
      <c r="X58" s="47">
        <v>1</v>
      </c>
      <c r="Y58" s="47"/>
      <c r="Z58" s="14"/>
    </row>
    <row r="59" spans="1:26" x14ac:dyDescent="0.25">
      <c r="A59" s="76">
        <v>52</v>
      </c>
      <c r="B59" s="76"/>
      <c r="C59" s="76"/>
      <c r="D59" s="76"/>
      <c r="E59" s="14"/>
      <c r="F59" s="1" t="str">
        <f>Assembler!M54</f>
        <v/>
      </c>
      <c r="G59" s="9">
        <f t="shared" si="6"/>
        <v>0</v>
      </c>
      <c r="H59" s="9" t="str">
        <f t="shared" si="0"/>
        <v>0</v>
      </c>
      <c r="I59" s="9" t="str">
        <f t="shared" si="1"/>
        <v>0</v>
      </c>
      <c r="J59" s="6">
        <f t="shared" si="2"/>
        <v>0</v>
      </c>
      <c r="K59" s="6">
        <f t="shared" si="3"/>
        <v>0</v>
      </c>
      <c r="L59" s="47">
        <v>10</v>
      </c>
      <c r="M59" s="47">
        <v>8</v>
      </c>
      <c r="N59" s="82">
        <v>10000100</v>
      </c>
      <c r="O59" s="82"/>
      <c r="P59" s="82"/>
      <c r="Q59" s="47">
        <v>13</v>
      </c>
      <c r="R59" s="47">
        <v>21</v>
      </c>
      <c r="S59" s="47">
        <v>19</v>
      </c>
      <c r="T59" s="47">
        <v>20</v>
      </c>
      <c r="U59" s="47"/>
      <c r="V59" s="47"/>
      <c r="W59" s="47">
        <v>1</v>
      </c>
      <c r="X59" s="47">
        <v>1</v>
      </c>
      <c r="Y59" s="47"/>
      <c r="Z59" s="14"/>
    </row>
    <row r="60" spans="1:26" x14ac:dyDescent="0.25">
      <c r="A60" s="76">
        <v>53</v>
      </c>
      <c r="B60" s="76"/>
      <c r="C60" s="76"/>
      <c r="D60" s="76"/>
      <c r="E60" s="14"/>
      <c r="F60" s="1" t="str">
        <f>Assembler!M55</f>
        <v/>
      </c>
      <c r="G60" s="9">
        <f t="shared" si="6"/>
        <v>0</v>
      </c>
      <c r="H60" s="9" t="str">
        <f t="shared" si="0"/>
        <v>0</v>
      </c>
      <c r="I60" s="9" t="str">
        <f t="shared" si="1"/>
        <v>0</v>
      </c>
      <c r="J60" s="6">
        <f t="shared" si="2"/>
        <v>0</v>
      </c>
      <c r="K60" s="6">
        <f t="shared" si="3"/>
        <v>0</v>
      </c>
      <c r="L60" s="47">
        <v>4</v>
      </c>
      <c r="M60" s="47">
        <v>9</v>
      </c>
      <c r="N60" s="82">
        <v>11000</v>
      </c>
      <c r="O60" s="82"/>
      <c r="P60" s="82"/>
      <c r="Q60" s="47">
        <v>34</v>
      </c>
      <c r="R60" s="47">
        <v>21</v>
      </c>
      <c r="S60" s="47">
        <v>19</v>
      </c>
      <c r="T60" s="47">
        <v>20</v>
      </c>
      <c r="U60" s="47"/>
      <c r="V60" s="47"/>
      <c r="W60" s="47">
        <v>1</v>
      </c>
      <c r="X60" s="47">
        <v>1</v>
      </c>
      <c r="Y60" s="47"/>
      <c r="Z60" s="14"/>
    </row>
    <row r="61" spans="1:26" x14ac:dyDescent="0.25">
      <c r="A61" s="76">
        <v>54</v>
      </c>
      <c r="B61" s="76"/>
      <c r="C61" s="76"/>
      <c r="D61" s="76"/>
      <c r="E61" s="14"/>
      <c r="F61" s="1" t="str">
        <f>Assembler!M56</f>
        <v/>
      </c>
      <c r="G61" s="9">
        <f t="shared" si="6"/>
        <v>0</v>
      </c>
      <c r="H61" s="9" t="str">
        <f t="shared" si="0"/>
        <v>0</v>
      </c>
      <c r="I61" s="9" t="str">
        <f t="shared" si="1"/>
        <v>0</v>
      </c>
      <c r="J61" s="6">
        <f t="shared" si="2"/>
        <v>0</v>
      </c>
      <c r="K61" s="6">
        <f t="shared" si="3"/>
        <v>0</v>
      </c>
      <c r="L61" s="47">
        <v>5</v>
      </c>
      <c r="M61" s="47">
        <v>11</v>
      </c>
      <c r="N61" s="82">
        <v>1100</v>
      </c>
      <c r="O61" s="82"/>
      <c r="P61" s="82"/>
      <c r="Q61" s="47">
        <v>34</v>
      </c>
      <c r="R61" s="47">
        <v>21</v>
      </c>
      <c r="S61" s="47">
        <v>19</v>
      </c>
      <c r="T61" s="47">
        <v>20</v>
      </c>
      <c r="U61" s="47"/>
      <c r="V61" s="47"/>
      <c r="W61" s="47">
        <v>1</v>
      </c>
      <c r="X61" s="47">
        <v>1</v>
      </c>
      <c r="Y61" s="47"/>
      <c r="Z61" s="14"/>
    </row>
    <row r="62" spans="1:26" x14ac:dyDescent="0.25">
      <c r="A62" s="76">
        <v>55</v>
      </c>
      <c r="B62" s="76"/>
      <c r="C62" s="76"/>
      <c r="D62" s="76"/>
      <c r="E62" s="14"/>
      <c r="F62" s="1" t="str">
        <f>Assembler!M57</f>
        <v/>
      </c>
      <c r="G62" s="9">
        <f t="shared" si="6"/>
        <v>0</v>
      </c>
      <c r="H62" s="9" t="str">
        <f t="shared" si="0"/>
        <v>0</v>
      </c>
      <c r="I62" s="9" t="str">
        <f t="shared" si="1"/>
        <v>0</v>
      </c>
      <c r="J62" s="6">
        <f t="shared" si="2"/>
        <v>0</v>
      </c>
      <c r="K62" s="6">
        <f t="shared" si="3"/>
        <v>0</v>
      </c>
      <c r="L62" s="47">
        <v>6</v>
      </c>
      <c r="M62" s="47">
        <v>13</v>
      </c>
      <c r="N62" s="82">
        <v>1011000</v>
      </c>
      <c r="O62" s="82"/>
      <c r="P62" s="82"/>
      <c r="Q62" s="47">
        <v>34</v>
      </c>
      <c r="R62" s="47">
        <v>21</v>
      </c>
      <c r="S62" s="47">
        <v>19</v>
      </c>
      <c r="T62" s="47">
        <v>20</v>
      </c>
      <c r="U62" s="47"/>
      <c r="V62" s="47"/>
      <c r="W62" s="47">
        <v>1</v>
      </c>
      <c r="X62" s="47">
        <v>1</v>
      </c>
      <c r="Y62" s="47"/>
      <c r="Z62" s="14"/>
    </row>
    <row r="63" spans="1:26" x14ac:dyDescent="0.25">
      <c r="A63" s="76">
        <v>56</v>
      </c>
      <c r="B63" s="76"/>
      <c r="C63" s="76"/>
      <c r="D63" s="76"/>
      <c r="E63" s="14"/>
      <c r="F63" s="1" t="str">
        <f>Assembler!M58</f>
        <v/>
      </c>
      <c r="G63" s="9">
        <f t="shared" si="6"/>
        <v>0</v>
      </c>
      <c r="H63" s="9" t="str">
        <f t="shared" si="0"/>
        <v>0</v>
      </c>
      <c r="I63" s="9" t="str">
        <f t="shared" si="1"/>
        <v>0</v>
      </c>
      <c r="J63" s="6">
        <f t="shared" si="2"/>
        <v>0</v>
      </c>
      <c r="K63" s="6">
        <f t="shared" si="3"/>
        <v>0</v>
      </c>
      <c r="L63" s="47">
        <v>7</v>
      </c>
      <c r="M63" s="47">
        <v>15</v>
      </c>
      <c r="N63" s="82">
        <v>1000000</v>
      </c>
      <c r="O63" s="82"/>
      <c r="P63" s="82"/>
      <c r="Q63" s="47">
        <v>21</v>
      </c>
      <c r="R63" s="47">
        <v>21</v>
      </c>
      <c r="S63" s="47">
        <v>19</v>
      </c>
      <c r="T63" s="47">
        <v>20</v>
      </c>
      <c r="U63" s="47"/>
      <c r="V63" s="47"/>
      <c r="W63" s="47">
        <v>1</v>
      </c>
      <c r="X63" s="47">
        <v>1</v>
      </c>
      <c r="Y63" s="47"/>
      <c r="Z63" s="14"/>
    </row>
    <row r="64" spans="1:26" x14ac:dyDescent="0.25">
      <c r="A64" s="76">
        <v>57</v>
      </c>
      <c r="B64" s="76"/>
      <c r="C64" s="76"/>
      <c r="D64" s="76"/>
      <c r="E64" s="14"/>
      <c r="F64" s="1" t="str">
        <f>Assembler!M59</f>
        <v/>
      </c>
      <c r="G64" s="9">
        <f t="shared" si="6"/>
        <v>0</v>
      </c>
      <c r="H64" s="9" t="str">
        <f t="shared" si="0"/>
        <v>0</v>
      </c>
      <c r="I64" s="9" t="str">
        <f t="shared" si="1"/>
        <v>0</v>
      </c>
      <c r="J64" s="6">
        <f t="shared" si="2"/>
        <v>0</v>
      </c>
      <c r="K64" s="6">
        <f t="shared" si="3"/>
        <v>0</v>
      </c>
      <c r="L64" s="47">
        <v>8</v>
      </c>
      <c r="M64" s="47">
        <v>17</v>
      </c>
      <c r="N64" s="82">
        <v>11001111</v>
      </c>
      <c r="O64" s="82"/>
      <c r="P64" s="82"/>
      <c r="Q64" s="47">
        <v>21</v>
      </c>
      <c r="R64" s="47">
        <v>34</v>
      </c>
      <c r="S64" s="47">
        <v>19</v>
      </c>
      <c r="T64" s="47">
        <v>20</v>
      </c>
      <c r="U64" s="47"/>
      <c r="V64" s="47"/>
      <c r="W64" s="47">
        <v>1</v>
      </c>
      <c r="X64" s="47">
        <v>1</v>
      </c>
      <c r="Y64" s="47"/>
      <c r="Z64" s="14"/>
    </row>
    <row r="65" spans="1:26" x14ac:dyDescent="0.25">
      <c r="A65" s="76">
        <v>58</v>
      </c>
      <c r="B65" s="76"/>
      <c r="C65" s="76"/>
      <c r="D65" s="76"/>
      <c r="E65" s="14"/>
      <c r="F65" s="1" t="str">
        <f>Assembler!M60</f>
        <v/>
      </c>
      <c r="G65" s="9">
        <f t="shared" si="6"/>
        <v>0</v>
      </c>
      <c r="H65" s="9" t="str">
        <f t="shared" si="0"/>
        <v>0</v>
      </c>
      <c r="I65" s="9" t="str">
        <f t="shared" si="1"/>
        <v>0</v>
      </c>
      <c r="J65" s="6">
        <f t="shared" si="2"/>
        <v>0</v>
      </c>
      <c r="K65" s="6">
        <f t="shared" si="3"/>
        <v>0</v>
      </c>
      <c r="L65" s="47">
        <v>9</v>
      </c>
      <c r="M65" s="47">
        <v>17</v>
      </c>
      <c r="N65" s="82">
        <v>11001111</v>
      </c>
      <c r="O65" s="82"/>
      <c r="P65" s="82"/>
      <c r="Q65" s="47">
        <v>21</v>
      </c>
      <c r="R65" s="47">
        <v>34</v>
      </c>
      <c r="S65" s="47">
        <v>19</v>
      </c>
      <c r="T65" s="47">
        <v>20</v>
      </c>
      <c r="U65" s="47"/>
      <c r="V65" s="47"/>
      <c r="W65" s="47">
        <v>1</v>
      </c>
      <c r="X65" s="47">
        <v>1</v>
      </c>
      <c r="Y65" s="47"/>
      <c r="Z65" s="14"/>
    </row>
    <row r="66" spans="1:26" x14ac:dyDescent="0.25">
      <c r="A66" s="76">
        <v>59</v>
      </c>
      <c r="B66" s="76"/>
      <c r="C66" s="76"/>
      <c r="D66" s="76"/>
      <c r="E66" s="14"/>
      <c r="F66" s="1" t="str">
        <f>Assembler!M61</f>
        <v/>
      </c>
      <c r="G66" s="9">
        <f t="shared" si="6"/>
        <v>0</v>
      </c>
      <c r="H66" s="9" t="str">
        <f t="shared" si="0"/>
        <v>0</v>
      </c>
      <c r="I66" s="9" t="str">
        <f t="shared" si="1"/>
        <v>0</v>
      </c>
      <c r="J66" s="6">
        <f t="shared" si="2"/>
        <v>0</v>
      </c>
      <c r="K66" s="6">
        <f t="shared" si="3"/>
        <v>0</v>
      </c>
      <c r="L66" s="47">
        <v>10</v>
      </c>
      <c r="M66" s="47">
        <v>8</v>
      </c>
      <c r="N66" s="82">
        <v>10000100</v>
      </c>
      <c r="O66" s="82"/>
      <c r="P66" s="82"/>
      <c r="Q66" s="47">
        <v>21</v>
      </c>
      <c r="R66" s="47">
        <v>34</v>
      </c>
      <c r="S66" s="47">
        <v>19</v>
      </c>
      <c r="T66" s="47">
        <v>20</v>
      </c>
      <c r="U66" s="47"/>
      <c r="V66" s="47"/>
      <c r="W66" s="47">
        <v>1</v>
      </c>
      <c r="X66" s="47">
        <v>1</v>
      </c>
      <c r="Y66" s="47"/>
      <c r="Z66" s="14"/>
    </row>
    <row r="67" spans="1:26" x14ac:dyDescent="0.25">
      <c r="A67" s="76">
        <v>60</v>
      </c>
      <c r="B67" s="76"/>
      <c r="C67" s="76"/>
      <c r="D67" s="76"/>
      <c r="E67" s="14"/>
      <c r="F67" s="1" t="str">
        <f>Assembler!M62</f>
        <v/>
      </c>
      <c r="G67" s="9">
        <f t="shared" si="6"/>
        <v>0</v>
      </c>
      <c r="H67" s="9" t="str">
        <f t="shared" si="0"/>
        <v>0</v>
      </c>
      <c r="I67" s="9" t="str">
        <f t="shared" si="1"/>
        <v>0</v>
      </c>
      <c r="J67" s="6">
        <f t="shared" si="2"/>
        <v>0</v>
      </c>
      <c r="K67" s="6">
        <f t="shared" si="3"/>
        <v>0</v>
      </c>
      <c r="L67" s="47">
        <v>4</v>
      </c>
      <c r="M67" s="47">
        <v>9</v>
      </c>
      <c r="N67" s="82">
        <v>11000</v>
      </c>
      <c r="O67" s="82"/>
      <c r="P67" s="82"/>
      <c r="Q67" s="47">
        <v>55</v>
      </c>
      <c r="R67" s="47">
        <v>34</v>
      </c>
      <c r="S67" s="47">
        <v>19</v>
      </c>
      <c r="T67" s="47">
        <v>20</v>
      </c>
      <c r="U67" s="47"/>
      <c r="V67" s="47"/>
      <c r="W67" s="47">
        <v>1</v>
      </c>
      <c r="X67" s="47">
        <v>1</v>
      </c>
      <c r="Y67" s="47"/>
      <c r="Z67" s="14"/>
    </row>
    <row r="68" spans="1:26" x14ac:dyDescent="0.25">
      <c r="A68" s="76">
        <v>61</v>
      </c>
      <c r="B68" s="76"/>
      <c r="C68" s="76"/>
      <c r="D68" s="76"/>
      <c r="E68" s="14"/>
      <c r="F68" s="1" t="str">
        <f>Assembler!M63</f>
        <v/>
      </c>
      <c r="G68" s="9">
        <f t="shared" si="6"/>
        <v>0</v>
      </c>
      <c r="H68" s="9" t="str">
        <f t="shared" si="0"/>
        <v>0</v>
      </c>
      <c r="I68" s="9" t="str">
        <f t="shared" si="1"/>
        <v>0</v>
      </c>
      <c r="J68" s="6">
        <f t="shared" si="2"/>
        <v>0</v>
      </c>
      <c r="K68" s="6">
        <f t="shared" si="3"/>
        <v>0</v>
      </c>
      <c r="L68" s="47">
        <v>5</v>
      </c>
      <c r="M68" s="47">
        <v>11</v>
      </c>
      <c r="N68" s="82">
        <v>1100</v>
      </c>
      <c r="O68" s="82"/>
      <c r="P68" s="82"/>
      <c r="Q68" s="47">
        <v>55</v>
      </c>
      <c r="R68" s="47">
        <v>34</v>
      </c>
      <c r="S68" s="47">
        <v>19</v>
      </c>
      <c r="T68" s="47">
        <v>20</v>
      </c>
      <c r="U68" s="47"/>
      <c r="V68" s="47"/>
      <c r="W68" s="47">
        <v>1</v>
      </c>
      <c r="X68" s="47">
        <v>1</v>
      </c>
      <c r="Y68" s="47"/>
      <c r="Z68" s="14"/>
    </row>
    <row r="69" spans="1:26" x14ac:dyDescent="0.25">
      <c r="A69" s="76">
        <v>62</v>
      </c>
      <c r="B69" s="76"/>
      <c r="C69" s="76"/>
      <c r="D69" s="76"/>
      <c r="E69" s="14"/>
      <c r="F69" s="1" t="str">
        <f>Assembler!M64</f>
        <v/>
      </c>
      <c r="G69" s="9">
        <f t="shared" si="6"/>
        <v>0</v>
      </c>
      <c r="H69" s="9" t="str">
        <f t="shared" si="0"/>
        <v>0</v>
      </c>
      <c r="I69" s="9" t="str">
        <f t="shared" si="1"/>
        <v>0</v>
      </c>
      <c r="J69" s="6">
        <f t="shared" si="2"/>
        <v>0</v>
      </c>
      <c r="K69" s="6">
        <f t="shared" si="3"/>
        <v>0</v>
      </c>
      <c r="L69" s="47">
        <v>6</v>
      </c>
      <c r="M69" s="47">
        <v>13</v>
      </c>
      <c r="N69" s="82">
        <v>1011000</v>
      </c>
      <c r="O69" s="82"/>
      <c r="P69" s="82"/>
      <c r="Q69" s="47">
        <v>55</v>
      </c>
      <c r="R69" s="47">
        <v>34</v>
      </c>
      <c r="S69" s="47">
        <v>19</v>
      </c>
      <c r="T69" s="47">
        <v>20</v>
      </c>
      <c r="U69" s="47"/>
      <c r="V69" s="47"/>
      <c r="W69" s="47">
        <v>1</v>
      </c>
      <c r="X69" s="47">
        <v>1</v>
      </c>
      <c r="Y69" s="47"/>
      <c r="Z69" s="14"/>
    </row>
    <row r="70" spans="1:26" x14ac:dyDescent="0.25">
      <c r="A70" s="76">
        <v>63</v>
      </c>
      <c r="B70" s="76"/>
      <c r="C70" s="76"/>
      <c r="D70" s="76"/>
      <c r="E70" s="14"/>
      <c r="F70" s="1" t="str">
        <f>Assembler!M65</f>
        <v/>
      </c>
      <c r="G70" s="9">
        <f t="shared" si="6"/>
        <v>0</v>
      </c>
      <c r="H70" s="9" t="str">
        <f t="shared" si="0"/>
        <v>0</v>
      </c>
      <c r="I70" s="9" t="str">
        <f t="shared" si="1"/>
        <v>0</v>
      </c>
      <c r="J70" s="6">
        <f t="shared" si="2"/>
        <v>0</v>
      </c>
      <c r="K70" s="6">
        <f t="shared" si="3"/>
        <v>0</v>
      </c>
      <c r="L70" s="47">
        <v>7</v>
      </c>
      <c r="M70" s="47">
        <v>15</v>
      </c>
      <c r="N70" s="82">
        <v>1000000</v>
      </c>
      <c r="O70" s="82"/>
      <c r="P70" s="82"/>
      <c r="Q70" s="47">
        <v>34</v>
      </c>
      <c r="R70" s="47">
        <v>34</v>
      </c>
      <c r="S70" s="47">
        <v>19</v>
      </c>
      <c r="T70" s="47">
        <v>20</v>
      </c>
      <c r="U70" s="47"/>
      <c r="V70" s="47"/>
      <c r="W70" s="47">
        <v>1</v>
      </c>
      <c r="X70" s="47">
        <v>1</v>
      </c>
      <c r="Y70" s="47"/>
      <c r="Z70" s="14"/>
    </row>
    <row r="71" spans="1:26" x14ac:dyDescent="0.25">
      <c r="A71" s="76">
        <v>64</v>
      </c>
      <c r="B71" s="76"/>
      <c r="C71" s="76"/>
      <c r="D71" s="76"/>
      <c r="E71" s="14"/>
      <c r="F71" s="1" t="str">
        <f>Assembler!M66</f>
        <v/>
      </c>
      <c r="G71" s="9">
        <f t="shared" si="6"/>
        <v>0</v>
      </c>
      <c r="H71" s="9" t="str">
        <f t="shared" si="0"/>
        <v>0</v>
      </c>
      <c r="I71" s="9" t="str">
        <f t="shared" si="1"/>
        <v>0</v>
      </c>
      <c r="J71" s="6">
        <f t="shared" si="2"/>
        <v>0</v>
      </c>
      <c r="K71" s="6">
        <f t="shared" si="3"/>
        <v>0</v>
      </c>
      <c r="L71" s="47">
        <v>8</v>
      </c>
      <c r="M71" s="47">
        <v>17</v>
      </c>
      <c r="N71" s="82">
        <v>11001111</v>
      </c>
      <c r="O71" s="82"/>
      <c r="P71" s="82"/>
      <c r="Q71" s="47">
        <v>34</v>
      </c>
      <c r="R71" s="47">
        <v>55</v>
      </c>
      <c r="S71" s="47">
        <v>19</v>
      </c>
      <c r="T71" s="47">
        <v>20</v>
      </c>
      <c r="U71" s="47"/>
      <c r="V71" s="47"/>
      <c r="W71" s="47">
        <v>1</v>
      </c>
      <c r="X71" s="47">
        <v>1</v>
      </c>
      <c r="Y71" s="47"/>
      <c r="Z71" s="14"/>
    </row>
    <row r="72" spans="1:26" x14ac:dyDescent="0.25">
      <c r="A72" s="76">
        <v>65</v>
      </c>
      <c r="B72" s="76"/>
      <c r="C72" s="76"/>
      <c r="D72" s="76"/>
      <c r="E72" s="14"/>
      <c r="F72" s="1" t="str">
        <f>Assembler!M67</f>
        <v/>
      </c>
      <c r="G72" s="9">
        <f t="shared" ref="G72:G135" si="7">E72</f>
        <v>0</v>
      </c>
      <c r="H72" s="9" t="str">
        <f t="shared" ref="H72:H135" si="8">BIN2HEX(F72)</f>
        <v>0</v>
      </c>
      <c r="I72" s="9" t="str">
        <f t="shared" ref="I72:I135" si="9">BIN2HEX(G72)</f>
        <v>0</v>
      </c>
      <c r="J72" s="6">
        <f t="shared" ref="J72:J135" si="10">BIN2DEC(F72)</f>
        <v>0</v>
      </c>
      <c r="K72" s="6">
        <f t="shared" ref="K72:K135" si="11">BIN2DEC(G72)</f>
        <v>0</v>
      </c>
      <c r="L72" s="47">
        <v>9</v>
      </c>
      <c r="M72" s="47">
        <v>17</v>
      </c>
      <c r="N72" s="82">
        <v>11001111</v>
      </c>
      <c r="O72" s="82"/>
      <c r="P72" s="82"/>
      <c r="Q72" s="47">
        <v>34</v>
      </c>
      <c r="R72" s="47">
        <v>55</v>
      </c>
      <c r="S72" s="47">
        <v>19</v>
      </c>
      <c r="T72" s="47">
        <v>20</v>
      </c>
      <c r="U72" s="47"/>
      <c r="V72" s="47"/>
      <c r="W72" s="47">
        <v>1</v>
      </c>
      <c r="X72" s="47">
        <v>1</v>
      </c>
      <c r="Y72" s="47"/>
      <c r="Z72" s="14"/>
    </row>
    <row r="73" spans="1:26" x14ac:dyDescent="0.25">
      <c r="A73" s="76">
        <v>66</v>
      </c>
      <c r="B73" s="76"/>
      <c r="C73" s="76"/>
      <c r="D73" s="76"/>
      <c r="E73" s="14"/>
      <c r="F73" s="1" t="str">
        <f>Assembler!M68</f>
        <v/>
      </c>
      <c r="G73" s="9">
        <f t="shared" si="7"/>
        <v>0</v>
      </c>
      <c r="H73" s="9" t="str">
        <f t="shared" si="8"/>
        <v>0</v>
      </c>
      <c r="I73" s="9" t="str">
        <f t="shared" si="9"/>
        <v>0</v>
      </c>
      <c r="J73" s="6">
        <f t="shared" si="10"/>
        <v>0</v>
      </c>
      <c r="K73" s="6">
        <f t="shared" si="11"/>
        <v>0</v>
      </c>
      <c r="L73" s="47">
        <v>10</v>
      </c>
      <c r="M73" s="47">
        <v>8</v>
      </c>
      <c r="N73" s="82">
        <v>10000100</v>
      </c>
      <c r="O73" s="82"/>
      <c r="P73" s="82"/>
      <c r="Q73" s="47">
        <v>34</v>
      </c>
      <c r="R73" s="47">
        <v>55</v>
      </c>
      <c r="S73" s="47">
        <v>19</v>
      </c>
      <c r="T73" s="47">
        <v>20</v>
      </c>
      <c r="U73" s="47"/>
      <c r="V73" s="47"/>
      <c r="W73" s="47">
        <v>1</v>
      </c>
      <c r="X73" s="47">
        <v>1</v>
      </c>
      <c r="Y73" s="47"/>
      <c r="Z73" s="14"/>
    </row>
    <row r="74" spans="1:26" x14ac:dyDescent="0.25">
      <c r="A74" s="76">
        <v>67</v>
      </c>
      <c r="B74" s="76"/>
      <c r="C74" s="76"/>
      <c r="D74" s="76"/>
      <c r="E74" s="14"/>
      <c r="F74" s="1" t="str">
        <f>Assembler!M69</f>
        <v/>
      </c>
      <c r="G74" s="9">
        <f t="shared" si="7"/>
        <v>0</v>
      </c>
      <c r="H74" s="9" t="str">
        <f t="shared" si="8"/>
        <v>0</v>
      </c>
      <c r="I74" s="9" t="str">
        <f t="shared" si="9"/>
        <v>0</v>
      </c>
      <c r="J74" s="6">
        <f t="shared" si="10"/>
        <v>0</v>
      </c>
      <c r="K74" s="6">
        <f t="shared" si="11"/>
        <v>0</v>
      </c>
      <c r="L74" s="47">
        <v>4</v>
      </c>
      <c r="M74" s="47">
        <v>9</v>
      </c>
      <c r="N74" s="82">
        <v>11000</v>
      </c>
      <c r="O74" s="82"/>
      <c r="P74" s="82"/>
      <c r="Q74" s="47">
        <v>89</v>
      </c>
      <c r="R74" s="47">
        <v>55</v>
      </c>
      <c r="S74" s="47">
        <v>19</v>
      </c>
      <c r="T74" s="47">
        <v>20</v>
      </c>
      <c r="U74" s="47"/>
      <c r="V74" s="47"/>
      <c r="W74" s="47">
        <v>1</v>
      </c>
      <c r="X74" s="47">
        <v>1</v>
      </c>
      <c r="Y74" s="47"/>
      <c r="Z74" s="14"/>
    </row>
    <row r="75" spans="1:26" x14ac:dyDescent="0.25">
      <c r="A75" s="76">
        <v>68</v>
      </c>
      <c r="B75" s="76"/>
      <c r="C75" s="76"/>
      <c r="D75" s="76"/>
      <c r="E75" s="14"/>
      <c r="F75" s="1" t="str">
        <f>Assembler!M70</f>
        <v/>
      </c>
      <c r="G75" s="9">
        <f t="shared" si="7"/>
        <v>0</v>
      </c>
      <c r="H75" s="9" t="str">
        <f t="shared" si="8"/>
        <v>0</v>
      </c>
      <c r="I75" s="9" t="str">
        <f t="shared" si="9"/>
        <v>0</v>
      </c>
      <c r="J75" s="6">
        <f t="shared" si="10"/>
        <v>0</v>
      </c>
      <c r="K75" s="6">
        <f t="shared" si="11"/>
        <v>0</v>
      </c>
      <c r="L75" s="47">
        <v>5</v>
      </c>
      <c r="M75" s="47">
        <v>11</v>
      </c>
      <c r="N75" s="82">
        <v>1100</v>
      </c>
      <c r="O75" s="82"/>
      <c r="P75" s="82"/>
      <c r="Q75" s="47">
        <v>89</v>
      </c>
      <c r="R75" s="47">
        <v>55</v>
      </c>
      <c r="S75" s="47">
        <v>19</v>
      </c>
      <c r="T75" s="47">
        <v>20</v>
      </c>
      <c r="U75" s="47"/>
      <c r="V75" s="47"/>
      <c r="W75" s="47">
        <v>1</v>
      </c>
      <c r="X75" s="47">
        <v>1</v>
      </c>
      <c r="Y75" s="47"/>
      <c r="Z75" s="14"/>
    </row>
    <row r="76" spans="1:26" x14ac:dyDescent="0.25">
      <c r="A76" s="76">
        <v>69</v>
      </c>
      <c r="B76" s="76"/>
      <c r="C76" s="76"/>
      <c r="D76" s="76"/>
      <c r="E76" s="14"/>
      <c r="F76" s="1" t="str">
        <f>Assembler!M71</f>
        <v/>
      </c>
      <c r="G76" s="9">
        <f t="shared" si="7"/>
        <v>0</v>
      </c>
      <c r="H76" s="9" t="str">
        <f t="shared" si="8"/>
        <v>0</v>
      </c>
      <c r="I76" s="9" t="str">
        <f t="shared" si="9"/>
        <v>0</v>
      </c>
      <c r="J76" s="6">
        <f t="shared" si="10"/>
        <v>0</v>
      </c>
      <c r="K76" s="6">
        <f t="shared" si="11"/>
        <v>0</v>
      </c>
      <c r="L76" s="47">
        <v>6</v>
      </c>
      <c r="M76" s="47">
        <v>13</v>
      </c>
      <c r="N76" s="82">
        <v>1011000</v>
      </c>
      <c r="O76" s="82"/>
      <c r="P76" s="82"/>
      <c r="Q76" s="47">
        <v>89</v>
      </c>
      <c r="R76" s="47">
        <v>55</v>
      </c>
      <c r="S76" s="47">
        <v>19</v>
      </c>
      <c r="T76" s="47">
        <v>20</v>
      </c>
      <c r="U76" s="47"/>
      <c r="V76" s="47"/>
      <c r="W76" s="47">
        <v>1</v>
      </c>
      <c r="X76" s="47">
        <v>1</v>
      </c>
      <c r="Y76" s="47"/>
      <c r="Z76" s="14"/>
    </row>
    <row r="77" spans="1:26" x14ac:dyDescent="0.25">
      <c r="A77" s="76">
        <v>70</v>
      </c>
      <c r="B77" s="76"/>
      <c r="C77" s="76"/>
      <c r="D77" s="76"/>
      <c r="E77" s="14"/>
      <c r="F77" s="1" t="str">
        <f>Assembler!M72</f>
        <v/>
      </c>
      <c r="G77" s="9">
        <f t="shared" si="7"/>
        <v>0</v>
      </c>
      <c r="H77" s="9" t="str">
        <f t="shared" si="8"/>
        <v>0</v>
      </c>
      <c r="I77" s="9" t="str">
        <f t="shared" si="9"/>
        <v>0</v>
      </c>
      <c r="J77" s="6">
        <f t="shared" si="10"/>
        <v>0</v>
      </c>
      <c r="K77" s="6">
        <f t="shared" si="11"/>
        <v>0</v>
      </c>
      <c r="L77" s="47">
        <v>7</v>
      </c>
      <c r="M77" s="47">
        <v>15</v>
      </c>
      <c r="N77" s="82">
        <v>1000000</v>
      </c>
      <c r="O77" s="82"/>
      <c r="P77" s="82"/>
      <c r="Q77" s="47">
        <v>55</v>
      </c>
      <c r="R77" s="47">
        <v>55</v>
      </c>
      <c r="S77" s="47">
        <v>19</v>
      </c>
      <c r="T77" s="47">
        <v>20</v>
      </c>
      <c r="U77" s="47"/>
      <c r="V77" s="47"/>
      <c r="W77" s="47">
        <v>1</v>
      </c>
      <c r="X77" s="47">
        <v>1</v>
      </c>
      <c r="Y77" s="47"/>
      <c r="Z77" s="14"/>
    </row>
    <row r="78" spans="1:26" x14ac:dyDescent="0.25">
      <c r="A78" s="76">
        <v>71</v>
      </c>
      <c r="B78" s="76"/>
      <c r="C78" s="76"/>
      <c r="D78" s="76"/>
      <c r="E78" s="14"/>
      <c r="F78" s="1" t="str">
        <f>Assembler!M73</f>
        <v/>
      </c>
      <c r="G78" s="9">
        <f t="shared" si="7"/>
        <v>0</v>
      </c>
      <c r="H78" s="9" t="str">
        <f t="shared" si="8"/>
        <v>0</v>
      </c>
      <c r="I78" s="9" t="str">
        <f t="shared" si="9"/>
        <v>0</v>
      </c>
      <c r="J78" s="6">
        <f t="shared" si="10"/>
        <v>0</v>
      </c>
      <c r="K78" s="6">
        <f t="shared" si="11"/>
        <v>0</v>
      </c>
      <c r="L78" s="47">
        <v>8</v>
      </c>
      <c r="M78" s="47">
        <v>17</v>
      </c>
      <c r="N78" s="82">
        <v>11001111</v>
      </c>
      <c r="O78" s="82"/>
      <c r="P78" s="82"/>
      <c r="Q78" s="47">
        <v>55</v>
      </c>
      <c r="R78" s="47">
        <v>89</v>
      </c>
      <c r="S78" s="47">
        <v>19</v>
      </c>
      <c r="T78" s="47">
        <v>20</v>
      </c>
      <c r="U78" s="47"/>
      <c r="V78" s="47"/>
      <c r="W78" s="47">
        <v>1</v>
      </c>
      <c r="X78" s="47">
        <v>1</v>
      </c>
      <c r="Y78" s="47"/>
      <c r="Z78" s="14"/>
    </row>
    <row r="79" spans="1:26" x14ac:dyDescent="0.25">
      <c r="A79" s="76">
        <v>72</v>
      </c>
      <c r="B79" s="76"/>
      <c r="C79" s="76"/>
      <c r="D79" s="76"/>
      <c r="E79" s="14"/>
      <c r="F79" s="1" t="str">
        <f>Assembler!M74</f>
        <v/>
      </c>
      <c r="G79" s="9">
        <f t="shared" si="7"/>
        <v>0</v>
      </c>
      <c r="H79" s="9" t="str">
        <f t="shared" si="8"/>
        <v>0</v>
      </c>
      <c r="I79" s="9" t="str">
        <f t="shared" si="9"/>
        <v>0</v>
      </c>
      <c r="J79" s="6">
        <f t="shared" si="10"/>
        <v>0</v>
      </c>
      <c r="K79" s="6">
        <f t="shared" si="11"/>
        <v>0</v>
      </c>
      <c r="L79" s="47">
        <v>9</v>
      </c>
      <c r="M79" s="47">
        <v>17</v>
      </c>
      <c r="N79" s="82">
        <v>11001111</v>
      </c>
      <c r="O79" s="82"/>
      <c r="P79" s="82"/>
      <c r="Q79" s="47">
        <v>55</v>
      </c>
      <c r="R79" s="47">
        <v>89</v>
      </c>
      <c r="S79" s="47">
        <v>19</v>
      </c>
      <c r="T79" s="47">
        <v>20</v>
      </c>
      <c r="U79" s="47"/>
      <c r="V79" s="47"/>
      <c r="W79" s="47">
        <v>1</v>
      </c>
      <c r="X79" s="47">
        <v>1</v>
      </c>
      <c r="Y79" s="47"/>
      <c r="Z79" s="14"/>
    </row>
    <row r="80" spans="1:26" x14ac:dyDescent="0.25">
      <c r="A80" s="76">
        <v>73</v>
      </c>
      <c r="B80" s="76"/>
      <c r="C80" s="76"/>
      <c r="D80" s="76"/>
      <c r="E80" s="14"/>
      <c r="F80" s="1" t="str">
        <f>Assembler!M75</f>
        <v/>
      </c>
      <c r="G80" s="9">
        <f t="shared" si="7"/>
        <v>0</v>
      </c>
      <c r="H80" s="9" t="str">
        <f t="shared" si="8"/>
        <v>0</v>
      </c>
      <c r="I80" s="9" t="str">
        <f t="shared" si="9"/>
        <v>0</v>
      </c>
      <c r="J80" s="6">
        <f t="shared" si="10"/>
        <v>0</v>
      </c>
      <c r="K80" s="6">
        <f t="shared" si="11"/>
        <v>0</v>
      </c>
      <c r="L80" s="47">
        <v>10</v>
      </c>
      <c r="M80" s="47">
        <v>8</v>
      </c>
      <c r="N80" s="82">
        <v>10000100</v>
      </c>
      <c r="O80" s="82"/>
      <c r="P80" s="82"/>
      <c r="Q80" s="47">
        <v>55</v>
      </c>
      <c r="R80" s="47">
        <v>89</v>
      </c>
      <c r="S80" s="47">
        <v>19</v>
      </c>
      <c r="T80" s="47">
        <v>20</v>
      </c>
      <c r="U80" s="47"/>
      <c r="V80" s="47"/>
      <c r="W80" s="47">
        <v>1</v>
      </c>
      <c r="X80" s="47">
        <v>1</v>
      </c>
      <c r="Y80" s="47"/>
      <c r="Z80" s="14"/>
    </row>
    <row r="81" spans="1:26" x14ac:dyDescent="0.25">
      <c r="A81" s="76">
        <v>74</v>
      </c>
      <c r="B81" s="76"/>
      <c r="C81" s="76"/>
      <c r="D81" s="76"/>
      <c r="E81" s="14"/>
      <c r="F81" s="1" t="str">
        <f>Assembler!M76</f>
        <v/>
      </c>
      <c r="G81" s="9">
        <f t="shared" si="7"/>
        <v>0</v>
      </c>
      <c r="H81" s="9" t="str">
        <f t="shared" si="8"/>
        <v>0</v>
      </c>
      <c r="I81" s="9" t="str">
        <f t="shared" si="9"/>
        <v>0</v>
      </c>
      <c r="J81" s="6">
        <f t="shared" si="10"/>
        <v>0</v>
      </c>
      <c r="K81" s="6">
        <f t="shared" si="11"/>
        <v>0</v>
      </c>
      <c r="L81" s="47">
        <v>4</v>
      </c>
      <c r="M81" s="47">
        <v>9</v>
      </c>
      <c r="N81" s="82">
        <v>11000</v>
      </c>
      <c r="O81" s="82"/>
      <c r="P81" s="82"/>
      <c r="Q81" s="47">
        <v>144</v>
      </c>
      <c r="R81" s="47">
        <v>89</v>
      </c>
      <c r="S81" s="47">
        <v>19</v>
      </c>
      <c r="T81" s="47">
        <v>20</v>
      </c>
      <c r="U81" s="47"/>
      <c r="V81" s="47"/>
      <c r="W81" s="47">
        <v>1</v>
      </c>
      <c r="X81" s="47">
        <v>1</v>
      </c>
      <c r="Y81" s="47"/>
      <c r="Z81" s="14"/>
    </row>
    <row r="82" spans="1:26" x14ac:dyDescent="0.25">
      <c r="A82" s="76">
        <v>75</v>
      </c>
      <c r="B82" s="76"/>
      <c r="C82" s="76"/>
      <c r="D82" s="76"/>
      <c r="E82" s="14"/>
      <c r="F82" s="1" t="str">
        <f>Assembler!M77</f>
        <v/>
      </c>
      <c r="G82" s="9">
        <f t="shared" si="7"/>
        <v>0</v>
      </c>
      <c r="H82" s="9" t="str">
        <f t="shared" si="8"/>
        <v>0</v>
      </c>
      <c r="I82" s="9" t="str">
        <f t="shared" si="9"/>
        <v>0</v>
      </c>
      <c r="J82" s="6">
        <f t="shared" si="10"/>
        <v>0</v>
      </c>
      <c r="K82" s="6">
        <f t="shared" si="11"/>
        <v>0</v>
      </c>
      <c r="L82" s="47">
        <v>5</v>
      </c>
      <c r="M82" s="47">
        <v>11</v>
      </c>
      <c r="N82" s="82">
        <v>1100</v>
      </c>
      <c r="O82" s="82"/>
      <c r="P82" s="82"/>
      <c r="Q82" s="47">
        <v>144</v>
      </c>
      <c r="R82" s="47">
        <v>89</v>
      </c>
      <c r="S82" s="47">
        <v>19</v>
      </c>
      <c r="T82" s="47">
        <v>20</v>
      </c>
      <c r="U82" s="47"/>
      <c r="V82" s="47"/>
      <c r="W82" s="47">
        <v>1</v>
      </c>
      <c r="X82" s="47">
        <v>1</v>
      </c>
      <c r="Y82" s="47"/>
      <c r="Z82" s="14"/>
    </row>
    <row r="83" spans="1:26" x14ac:dyDescent="0.25">
      <c r="A83" s="76">
        <v>76</v>
      </c>
      <c r="B83" s="76"/>
      <c r="C83" s="76"/>
      <c r="D83" s="76"/>
      <c r="E83" s="14"/>
      <c r="F83" s="1" t="str">
        <f>Assembler!M78</f>
        <v/>
      </c>
      <c r="G83" s="9">
        <f t="shared" si="7"/>
        <v>0</v>
      </c>
      <c r="H83" s="9" t="str">
        <f t="shared" si="8"/>
        <v>0</v>
      </c>
      <c r="I83" s="9" t="str">
        <f t="shared" si="9"/>
        <v>0</v>
      </c>
      <c r="J83" s="6">
        <f t="shared" si="10"/>
        <v>0</v>
      </c>
      <c r="K83" s="6">
        <f t="shared" si="11"/>
        <v>0</v>
      </c>
      <c r="L83" s="47">
        <v>6</v>
      </c>
      <c r="M83" s="47">
        <v>13</v>
      </c>
      <c r="N83" s="82">
        <v>1011000</v>
      </c>
      <c r="O83" s="82"/>
      <c r="P83" s="82"/>
      <c r="Q83" s="47">
        <v>144</v>
      </c>
      <c r="R83" s="47">
        <v>89</v>
      </c>
      <c r="S83" s="47">
        <v>19</v>
      </c>
      <c r="T83" s="47">
        <v>20</v>
      </c>
      <c r="U83" s="47"/>
      <c r="V83" s="47"/>
      <c r="W83" s="47">
        <v>1</v>
      </c>
      <c r="X83" s="47">
        <v>1</v>
      </c>
      <c r="Y83" s="47"/>
      <c r="Z83" s="14"/>
    </row>
    <row r="84" spans="1:26" x14ac:dyDescent="0.25">
      <c r="A84" s="76">
        <v>77</v>
      </c>
      <c r="B84" s="76"/>
      <c r="C84" s="76"/>
      <c r="D84" s="76"/>
      <c r="E84" s="14"/>
      <c r="F84" s="1" t="str">
        <f>Assembler!M79</f>
        <v/>
      </c>
      <c r="G84" s="9">
        <f t="shared" si="7"/>
        <v>0</v>
      </c>
      <c r="H84" s="9" t="str">
        <f t="shared" si="8"/>
        <v>0</v>
      </c>
      <c r="I84" s="9" t="str">
        <f t="shared" si="9"/>
        <v>0</v>
      </c>
      <c r="J84" s="6">
        <f t="shared" si="10"/>
        <v>0</v>
      </c>
      <c r="K84" s="6">
        <f t="shared" si="11"/>
        <v>0</v>
      </c>
      <c r="L84" s="47">
        <v>7</v>
      </c>
      <c r="M84" s="47">
        <v>15</v>
      </c>
      <c r="N84" s="82">
        <v>1000000</v>
      </c>
      <c r="O84" s="82"/>
      <c r="P84" s="82"/>
      <c r="Q84" s="47">
        <v>89</v>
      </c>
      <c r="R84" s="47">
        <v>89</v>
      </c>
      <c r="S84" s="47">
        <v>19</v>
      </c>
      <c r="T84" s="47">
        <v>20</v>
      </c>
      <c r="U84" s="47"/>
      <c r="V84" s="47"/>
      <c r="W84" s="47">
        <v>1</v>
      </c>
      <c r="X84" s="47">
        <v>1</v>
      </c>
      <c r="Y84" s="47"/>
      <c r="Z84" s="14"/>
    </row>
    <row r="85" spans="1:26" x14ac:dyDescent="0.25">
      <c r="A85" s="76">
        <v>78</v>
      </c>
      <c r="B85" s="76"/>
      <c r="C85" s="76"/>
      <c r="D85" s="76"/>
      <c r="E85" s="14"/>
      <c r="F85" s="1" t="str">
        <f>Assembler!M80</f>
        <v/>
      </c>
      <c r="G85" s="9">
        <f t="shared" si="7"/>
        <v>0</v>
      </c>
      <c r="H85" s="9" t="str">
        <f t="shared" si="8"/>
        <v>0</v>
      </c>
      <c r="I85" s="9" t="str">
        <f t="shared" si="9"/>
        <v>0</v>
      </c>
      <c r="J85" s="6">
        <f t="shared" si="10"/>
        <v>0</v>
      </c>
      <c r="K85" s="6">
        <f t="shared" si="11"/>
        <v>0</v>
      </c>
      <c r="L85" s="47">
        <v>8</v>
      </c>
      <c r="M85" s="47">
        <v>17</v>
      </c>
      <c r="N85" s="82">
        <v>11001111</v>
      </c>
      <c r="O85" s="82"/>
      <c r="P85" s="82"/>
      <c r="Q85" s="47">
        <v>89</v>
      </c>
      <c r="R85" s="47">
        <v>144</v>
      </c>
      <c r="S85" s="47">
        <v>19</v>
      </c>
      <c r="T85" s="47">
        <v>20</v>
      </c>
      <c r="U85" s="47"/>
      <c r="V85" s="47"/>
      <c r="W85" s="47">
        <v>1</v>
      </c>
      <c r="X85" s="47">
        <v>1</v>
      </c>
      <c r="Y85" s="47"/>
      <c r="Z85" s="14"/>
    </row>
    <row r="86" spans="1:26" x14ac:dyDescent="0.25">
      <c r="A86" s="76">
        <v>79</v>
      </c>
      <c r="B86" s="76"/>
      <c r="C86" s="76"/>
      <c r="D86" s="76"/>
      <c r="E86" s="14"/>
      <c r="F86" s="1" t="str">
        <f>Assembler!M81</f>
        <v/>
      </c>
      <c r="G86" s="9">
        <f t="shared" si="7"/>
        <v>0</v>
      </c>
      <c r="H86" s="9" t="str">
        <f t="shared" si="8"/>
        <v>0</v>
      </c>
      <c r="I86" s="9" t="str">
        <f t="shared" si="9"/>
        <v>0</v>
      </c>
      <c r="J86" s="6">
        <f t="shared" si="10"/>
        <v>0</v>
      </c>
      <c r="K86" s="6">
        <f t="shared" si="11"/>
        <v>0</v>
      </c>
      <c r="L86" s="47">
        <v>9</v>
      </c>
      <c r="M86" s="47">
        <v>17</v>
      </c>
      <c r="N86" s="82">
        <v>11001111</v>
      </c>
      <c r="O86" s="82"/>
      <c r="P86" s="82"/>
      <c r="Q86" s="47">
        <v>89</v>
      </c>
      <c r="R86" s="47">
        <v>144</v>
      </c>
      <c r="S86" s="47">
        <v>19</v>
      </c>
      <c r="T86" s="47">
        <v>20</v>
      </c>
      <c r="U86" s="47"/>
      <c r="V86" s="47"/>
      <c r="W86" s="47">
        <v>1</v>
      </c>
      <c r="X86" s="47">
        <v>1</v>
      </c>
      <c r="Y86" s="47"/>
      <c r="Z86" s="14"/>
    </row>
    <row r="87" spans="1:26" x14ac:dyDescent="0.25">
      <c r="A87" s="76">
        <v>80</v>
      </c>
      <c r="B87" s="76"/>
      <c r="C87" s="76"/>
      <c r="D87" s="76"/>
      <c r="E87" s="14"/>
      <c r="F87" s="1" t="str">
        <f>Assembler!M82</f>
        <v/>
      </c>
      <c r="G87" s="9">
        <f t="shared" si="7"/>
        <v>0</v>
      </c>
      <c r="H87" s="9" t="str">
        <f t="shared" si="8"/>
        <v>0</v>
      </c>
      <c r="I87" s="9" t="str">
        <f t="shared" si="9"/>
        <v>0</v>
      </c>
      <c r="J87" s="6">
        <f t="shared" si="10"/>
        <v>0</v>
      </c>
      <c r="K87" s="6">
        <f t="shared" si="11"/>
        <v>0</v>
      </c>
      <c r="L87" s="47">
        <v>10</v>
      </c>
      <c r="M87" s="47">
        <v>8</v>
      </c>
      <c r="N87" s="82">
        <v>10000100</v>
      </c>
      <c r="O87" s="82"/>
      <c r="P87" s="82"/>
      <c r="Q87" s="47">
        <v>89</v>
      </c>
      <c r="R87" s="47">
        <v>144</v>
      </c>
      <c r="S87" s="47">
        <v>19</v>
      </c>
      <c r="T87" s="47">
        <v>20</v>
      </c>
      <c r="U87" s="47"/>
      <c r="V87" s="47"/>
      <c r="W87" s="47">
        <v>1</v>
      </c>
      <c r="X87" s="47">
        <v>1</v>
      </c>
      <c r="Y87" s="47"/>
      <c r="Z87" s="14"/>
    </row>
    <row r="88" spans="1:26" x14ac:dyDescent="0.25">
      <c r="A88" s="76">
        <v>81</v>
      </c>
      <c r="B88" s="76"/>
      <c r="C88" s="76"/>
      <c r="D88" s="76"/>
      <c r="E88" s="14"/>
      <c r="F88" s="1" t="str">
        <f>Assembler!M83</f>
        <v/>
      </c>
      <c r="G88" s="9">
        <f t="shared" si="7"/>
        <v>0</v>
      </c>
      <c r="H88" s="9" t="str">
        <f t="shared" si="8"/>
        <v>0</v>
      </c>
      <c r="I88" s="9" t="str">
        <f t="shared" si="9"/>
        <v>0</v>
      </c>
      <c r="J88" s="6">
        <f t="shared" si="10"/>
        <v>0</v>
      </c>
      <c r="K88" s="6">
        <f t="shared" si="11"/>
        <v>0</v>
      </c>
      <c r="L88" s="47">
        <v>4</v>
      </c>
      <c r="M88" s="47">
        <v>9</v>
      </c>
      <c r="N88" s="82">
        <v>11000</v>
      </c>
      <c r="O88" s="82"/>
      <c r="P88" s="82"/>
      <c r="Q88" s="47">
        <v>233</v>
      </c>
      <c r="R88" s="47">
        <v>144</v>
      </c>
      <c r="S88" s="47">
        <v>19</v>
      </c>
      <c r="T88" s="47">
        <v>20</v>
      </c>
      <c r="U88" s="47"/>
      <c r="V88" s="47"/>
      <c r="W88" s="47">
        <v>1</v>
      </c>
      <c r="X88" s="47">
        <v>1</v>
      </c>
      <c r="Y88" s="47"/>
      <c r="Z88" s="14"/>
    </row>
    <row r="89" spans="1:26" x14ac:dyDescent="0.25">
      <c r="A89" s="76">
        <v>82</v>
      </c>
      <c r="B89" s="76"/>
      <c r="C89" s="76"/>
      <c r="D89" s="76"/>
      <c r="E89" s="14"/>
      <c r="F89" s="1" t="str">
        <f>Assembler!M84</f>
        <v/>
      </c>
      <c r="G89" s="9">
        <f t="shared" si="7"/>
        <v>0</v>
      </c>
      <c r="H89" s="9" t="str">
        <f t="shared" si="8"/>
        <v>0</v>
      </c>
      <c r="I89" s="9" t="str">
        <f t="shared" si="9"/>
        <v>0</v>
      </c>
      <c r="J89" s="6">
        <f t="shared" si="10"/>
        <v>0</v>
      </c>
      <c r="K89" s="6">
        <f t="shared" si="11"/>
        <v>0</v>
      </c>
      <c r="L89" s="47">
        <v>5</v>
      </c>
      <c r="M89" s="47">
        <v>11</v>
      </c>
      <c r="N89" s="82">
        <v>1100</v>
      </c>
      <c r="O89" s="82"/>
      <c r="P89" s="82"/>
      <c r="Q89" s="47">
        <v>233</v>
      </c>
      <c r="R89" s="47">
        <v>144</v>
      </c>
      <c r="S89" s="47">
        <v>19</v>
      </c>
      <c r="T89" s="47">
        <v>20</v>
      </c>
      <c r="U89" s="47"/>
      <c r="V89" s="47"/>
      <c r="W89" s="47">
        <v>1</v>
      </c>
      <c r="X89" s="47">
        <v>1</v>
      </c>
      <c r="Y89" s="47"/>
      <c r="Z89" s="14"/>
    </row>
    <row r="90" spans="1:26" x14ac:dyDescent="0.25">
      <c r="A90" s="76">
        <v>83</v>
      </c>
      <c r="B90" s="76"/>
      <c r="C90" s="76"/>
      <c r="D90" s="76"/>
      <c r="E90" s="14"/>
      <c r="F90" s="1" t="str">
        <f>Assembler!M85</f>
        <v/>
      </c>
      <c r="G90" s="9">
        <f t="shared" si="7"/>
        <v>0</v>
      </c>
      <c r="H90" s="9" t="str">
        <f t="shared" si="8"/>
        <v>0</v>
      </c>
      <c r="I90" s="9" t="str">
        <f t="shared" si="9"/>
        <v>0</v>
      </c>
      <c r="J90" s="6">
        <f t="shared" si="10"/>
        <v>0</v>
      </c>
      <c r="K90" s="6">
        <f t="shared" si="11"/>
        <v>0</v>
      </c>
      <c r="L90" s="47">
        <v>6</v>
      </c>
      <c r="M90" s="47">
        <v>13</v>
      </c>
      <c r="N90" s="82">
        <v>1011000</v>
      </c>
      <c r="O90" s="82"/>
      <c r="P90" s="82"/>
      <c r="Q90" s="47">
        <v>233</v>
      </c>
      <c r="R90" s="47">
        <v>144</v>
      </c>
      <c r="S90" s="47">
        <v>19</v>
      </c>
      <c r="T90" s="47">
        <v>20</v>
      </c>
      <c r="U90" s="47"/>
      <c r="V90" s="47"/>
      <c r="W90" s="47">
        <v>1</v>
      </c>
      <c r="X90" s="47">
        <v>1</v>
      </c>
      <c r="Y90" s="47"/>
      <c r="Z90" s="14"/>
    </row>
    <row r="91" spans="1:26" x14ac:dyDescent="0.25">
      <c r="A91" s="76">
        <v>84</v>
      </c>
      <c r="B91" s="76"/>
      <c r="C91" s="76"/>
      <c r="D91" s="76"/>
      <c r="E91" s="14"/>
      <c r="F91" s="1" t="str">
        <f>Assembler!M86</f>
        <v/>
      </c>
      <c r="G91" s="9">
        <f t="shared" si="7"/>
        <v>0</v>
      </c>
      <c r="H91" s="9" t="str">
        <f t="shared" si="8"/>
        <v>0</v>
      </c>
      <c r="I91" s="9" t="str">
        <f t="shared" si="9"/>
        <v>0</v>
      </c>
      <c r="J91" s="6">
        <f t="shared" si="10"/>
        <v>0</v>
      </c>
      <c r="K91" s="6">
        <f t="shared" si="11"/>
        <v>0</v>
      </c>
      <c r="L91" s="47">
        <v>7</v>
      </c>
      <c r="M91" s="47">
        <v>15</v>
      </c>
      <c r="N91" s="82">
        <v>1000000</v>
      </c>
      <c r="O91" s="82"/>
      <c r="P91" s="82"/>
      <c r="Q91" s="47">
        <v>144</v>
      </c>
      <c r="R91" s="47">
        <v>144</v>
      </c>
      <c r="S91" s="47">
        <v>19</v>
      </c>
      <c r="T91" s="47">
        <v>20</v>
      </c>
      <c r="U91" s="47"/>
      <c r="V91" s="47"/>
      <c r="W91" s="47">
        <v>1</v>
      </c>
      <c r="X91" s="47">
        <v>1</v>
      </c>
      <c r="Y91" s="47"/>
      <c r="Z91" s="14"/>
    </row>
    <row r="92" spans="1:26" x14ac:dyDescent="0.25">
      <c r="A92" s="76">
        <v>85</v>
      </c>
      <c r="B92" s="76"/>
      <c r="C92" s="76"/>
      <c r="D92" s="76"/>
      <c r="E92" s="14"/>
      <c r="F92" s="1" t="str">
        <f>Assembler!M87</f>
        <v/>
      </c>
      <c r="G92" s="9">
        <f t="shared" si="7"/>
        <v>0</v>
      </c>
      <c r="H92" s="9" t="str">
        <f t="shared" si="8"/>
        <v>0</v>
      </c>
      <c r="I92" s="9" t="str">
        <f t="shared" si="9"/>
        <v>0</v>
      </c>
      <c r="J92" s="6">
        <f t="shared" si="10"/>
        <v>0</v>
      </c>
      <c r="K92" s="6">
        <f t="shared" si="11"/>
        <v>0</v>
      </c>
      <c r="L92" s="47">
        <v>8</v>
      </c>
      <c r="M92" s="47">
        <v>17</v>
      </c>
      <c r="N92" s="82">
        <v>11001111</v>
      </c>
      <c r="O92" s="82"/>
      <c r="P92" s="82"/>
      <c r="Q92" s="47">
        <v>144</v>
      </c>
      <c r="R92" s="47">
        <v>233</v>
      </c>
      <c r="S92" s="47">
        <v>19</v>
      </c>
      <c r="T92" s="47">
        <v>20</v>
      </c>
      <c r="U92" s="47"/>
      <c r="V92" s="47"/>
      <c r="W92" s="47">
        <v>1</v>
      </c>
      <c r="X92" s="47">
        <v>1</v>
      </c>
      <c r="Y92" s="47"/>
      <c r="Z92" s="14"/>
    </row>
    <row r="93" spans="1:26" x14ac:dyDescent="0.25">
      <c r="A93" s="76">
        <v>86</v>
      </c>
      <c r="B93" s="76"/>
      <c r="C93" s="76"/>
      <c r="D93" s="76"/>
      <c r="E93" s="14"/>
      <c r="F93" s="1" t="str">
        <f>Assembler!M88</f>
        <v/>
      </c>
      <c r="G93" s="9">
        <f t="shared" si="7"/>
        <v>0</v>
      </c>
      <c r="H93" s="9" t="str">
        <f t="shared" si="8"/>
        <v>0</v>
      </c>
      <c r="I93" s="9" t="str">
        <f t="shared" si="9"/>
        <v>0</v>
      </c>
      <c r="J93" s="6">
        <f t="shared" si="10"/>
        <v>0</v>
      </c>
      <c r="K93" s="6">
        <f t="shared" si="11"/>
        <v>0</v>
      </c>
      <c r="L93" s="47">
        <v>9</v>
      </c>
      <c r="M93" s="47">
        <v>17</v>
      </c>
      <c r="N93" s="82">
        <v>11001111</v>
      </c>
      <c r="O93" s="82"/>
      <c r="P93" s="82"/>
      <c r="Q93" s="47">
        <v>144</v>
      </c>
      <c r="R93" s="47">
        <v>233</v>
      </c>
      <c r="S93" s="47">
        <v>19</v>
      </c>
      <c r="T93" s="47">
        <v>20</v>
      </c>
      <c r="U93" s="47"/>
      <c r="V93" s="47"/>
      <c r="W93" s="47">
        <v>1</v>
      </c>
      <c r="X93" s="47">
        <v>1</v>
      </c>
      <c r="Y93" s="47"/>
      <c r="Z93" s="14"/>
    </row>
    <row r="94" spans="1:26" x14ac:dyDescent="0.25">
      <c r="A94" s="76">
        <v>87</v>
      </c>
      <c r="B94" s="76"/>
      <c r="C94" s="76"/>
      <c r="D94" s="76"/>
      <c r="E94" s="14"/>
      <c r="F94" s="1" t="str">
        <f>Assembler!M89</f>
        <v/>
      </c>
      <c r="G94" s="9">
        <f t="shared" si="7"/>
        <v>0</v>
      </c>
      <c r="H94" s="9" t="str">
        <f t="shared" si="8"/>
        <v>0</v>
      </c>
      <c r="I94" s="9" t="str">
        <f t="shared" si="9"/>
        <v>0</v>
      </c>
      <c r="J94" s="6">
        <f t="shared" si="10"/>
        <v>0</v>
      </c>
      <c r="K94" s="6">
        <f t="shared" si="11"/>
        <v>0</v>
      </c>
      <c r="L94" s="47">
        <v>10</v>
      </c>
      <c r="M94" s="47">
        <v>8</v>
      </c>
      <c r="N94" s="82">
        <v>10000100</v>
      </c>
      <c r="O94" s="82"/>
      <c r="P94" s="82"/>
      <c r="Q94" s="47">
        <v>144</v>
      </c>
      <c r="R94" s="47">
        <v>233</v>
      </c>
      <c r="S94" s="47">
        <v>19</v>
      </c>
      <c r="T94" s="47">
        <v>20</v>
      </c>
      <c r="U94" s="47"/>
      <c r="V94" s="47"/>
      <c r="W94" s="47">
        <v>1</v>
      </c>
      <c r="X94" s="47">
        <v>1</v>
      </c>
      <c r="Y94" s="47"/>
      <c r="Z94" s="14"/>
    </row>
    <row r="95" spans="1:26" x14ac:dyDescent="0.25">
      <c r="A95" s="76">
        <v>88</v>
      </c>
      <c r="B95" s="76"/>
      <c r="C95" s="76"/>
      <c r="D95" s="76"/>
      <c r="E95" s="14"/>
      <c r="F95" s="1" t="str">
        <f>Assembler!M90</f>
        <v/>
      </c>
      <c r="G95" s="9">
        <f t="shared" si="7"/>
        <v>0</v>
      </c>
      <c r="H95" s="9" t="str">
        <f t="shared" si="8"/>
        <v>0</v>
      </c>
      <c r="I95" s="9" t="str">
        <f t="shared" si="9"/>
        <v>0</v>
      </c>
      <c r="J95" s="6">
        <f t="shared" si="10"/>
        <v>0</v>
      </c>
      <c r="K95" s="6">
        <f t="shared" si="11"/>
        <v>0</v>
      </c>
      <c r="L95" s="47">
        <v>4</v>
      </c>
      <c r="M95" s="47">
        <v>9</v>
      </c>
      <c r="N95" s="82">
        <v>11000</v>
      </c>
      <c r="O95" s="82"/>
      <c r="P95" s="82"/>
      <c r="Q95" s="47">
        <v>377</v>
      </c>
      <c r="R95" s="47">
        <v>233</v>
      </c>
      <c r="S95" s="47">
        <v>19</v>
      </c>
      <c r="T95" s="47">
        <v>20</v>
      </c>
      <c r="U95" s="47"/>
      <c r="V95" s="47">
        <v>1</v>
      </c>
      <c r="W95" s="47">
        <v>1</v>
      </c>
      <c r="X95" s="47">
        <v>1</v>
      </c>
      <c r="Y95" s="47"/>
      <c r="Z95" s="14"/>
    </row>
    <row r="96" spans="1:26" x14ac:dyDescent="0.25">
      <c r="A96" s="76">
        <v>89</v>
      </c>
      <c r="B96" s="76"/>
      <c r="C96" s="76"/>
      <c r="D96" s="76"/>
      <c r="E96" s="14"/>
      <c r="F96" s="1" t="str">
        <f>Assembler!M91</f>
        <v/>
      </c>
      <c r="G96" s="9">
        <f t="shared" si="7"/>
        <v>0</v>
      </c>
      <c r="H96" s="9" t="str">
        <f t="shared" si="8"/>
        <v>0</v>
      </c>
      <c r="I96" s="9" t="str">
        <f t="shared" si="9"/>
        <v>0</v>
      </c>
      <c r="J96" s="6">
        <f t="shared" si="10"/>
        <v>0</v>
      </c>
      <c r="K96" s="6">
        <f t="shared" si="11"/>
        <v>0</v>
      </c>
      <c r="L96" s="47">
        <v>5</v>
      </c>
      <c r="M96" s="47">
        <v>11</v>
      </c>
      <c r="N96" s="82">
        <v>1100</v>
      </c>
      <c r="O96" s="82"/>
      <c r="P96" s="82"/>
      <c r="Q96" s="47">
        <v>377</v>
      </c>
      <c r="R96" s="47">
        <v>233</v>
      </c>
      <c r="S96" s="47">
        <v>19</v>
      </c>
      <c r="T96" s="47">
        <v>20</v>
      </c>
      <c r="U96" s="47"/>
      <c r="V96" s="47">
        <v>1</v>
      </c>
      <c r="W96" s="47">
        <v>1</v>
      </c>
      <c r="X96" s="47">
        <v>1</v>
      </c>
      <c r="Y96" s="47"/>
      <c r="Z96" s="14"/>
    </row>
    <row r="97" spans="1:26" x14ac:dyDescent="0.25">
      <c r="A97" s="76">
        <v>90</v>
      </c>
      <c r="B97" s="76"/>
      <c r="C97" s="76"/>
      <c r="D97" s="76"/>
      <c r="E97" s="14"/>
      <c r="F97" s="1" t="str">
        <f>Assembler!M92</f>
        <v/>
      </c>
      <c r="G97" s="9">
        <f t="shared" si="7"/>
        <v>0</v>
      </c>
      <c r="H97" s="9" t="str">
        <f t="shared" si="8"/>
        <v>0</v>
      </c>
      <c r="I97" s="9" t="str">
        <f t="shared" si="9"/>
        <v>0</v>
      </c>
      <c r="J97" s="6">
        <f t="shared" si="10"/>
        <v>0</v>
      </c>
      <c r="K97" s="6">
        <f t="shared" si="11"/>
        <v>0</v>
      </c>
      <c r="L97" s="47">
        <v>6</v>
      </c>
      <c r="M97" s="47">
        <v>13</v>
      </c>
      <c r="N97" s="82">
        <v>1011000</v>
      </c>
      <c r="O97" s="82"/>
      <c r="P97" s="82"/>
      <c r="Q97" s="47">
        <v>377</v>
      </c>
      <c r="R97" s="47">
        <v>233</v>
      </c>
      <c r="S97" s="47">
        <v>19</v>
      </c>
      <c r="T97" s="47">
        <v>20</v>
      </c>
      <c r="U97" s="47"/>
      <c r="V97" s="47">
        <v>1</v>
      </c>
      <c r="W97" s="47">
        <v>1</v>
      </c>
      <c r="X97" s="47">
        <v>1</v>
      </c>
      <c r="Y97" s="47"/>
      <c r="Z97" s="14"/>
    </row>
    <row r="98" spans="1:26" x14ac:dyDescent="0.25">
      <c r="A98" s="76">
        <v>91</v>
      </c>
      <c r="B98" s="76"/>
      <c r="C98" s="76"/>
      <c r="D98" s="76"/>
      <c r="E98" s="14"/>
      <c r="F98" s="1" t="str">
        <f>Assembler!M93</f>
        <v/>
      </c>
      <c r="G98" s="9">
        <f t="shared" si="7"/>
        <v>0</v>
      </c>
      <c r="H98" s="9" t="str">
        <f t="shared" si="8"/>
        <v>0</v>
      </c>
      <c r="I98" s="9" t="str">
        <f t="shared" si="9"/>
        <v>0</v>
      </c>
      <c r="J98" s="6">
        <f t="shared" si="10"/>
        <v>0</v>
      </c>
      <c r="K98" s="6">
        <f t="shared" si="11"/>
        <v>0</v>
      </c>
      <c r="L98" s="47">
        <v>7</v>
      </c>
      <c r="M98" s="47">
        <v>15</v>
      </c>
      <c r="N98" s="82">
        <v>1000000</v>
      </c>
      <c r="O98" s="82"/>
      <c r="P98" s="82"/>
      <c r="Q98" s="47">
        <v>233</v>
      </c>
      <c r="R98" s="47">
        <v>233</v>
      </c>
      <c r="S98" s="47">
        <v>19</v>
      </c>
      <c r="T98" s="47">
        <v>20</v>
      </c>
      <c r="U98" s="47"/>
      <c r="V98" s="47">
        <v>1</v>
      </c>
      <c r="W98" s="47">
        <v>1</v>
      </c>
      <c r="X98" s="47">
        <v>1</v>
      </c>
      <c r="Y98" s="47"/>
      <c r="Z98" s="14"/>
    </row>
    <row r="99" spans="1:26" x14ac:dyDescent="0.25">
      <c r="A99" s="76">
        <v>92</v>
      </c>
      <c r="B99" s="76"/>
      <c r="C99" s="76"/>
      <c r="D99" s="76"/>
      <c r="E99" s="14"/>
      <c r="F99" s="1" t="str">
        <f>Assembler!M94</f>
        <v/>
      </c>
      <c r="G99" s="9">
        <f t="shared" si="7"/>
        <v>0</v>
      </c>
      <c r="H99" s="9" t="str">
        <f t="shared" si="8"/>
        <v>0</v>
      </c>
      <c r="I99" s="9" t="str">
        <f t="shared" si="9"/>
        <v>0</v>
      </c>
      <c r="J99" s="6">
        <f t="shared" si="10"/>
        <v>0</v>
      </c>
      <c r="K99" s="6">
        <f t="shared" si="11"/>
        <v>0</v>
      </c>
      <c r="L99" s="47">
        <v>8</v>
      </c>
      <c r="M99" s="47">
        <v>17</v>
      </c>
      <c r="N99" s="82">
        <v>11001111</v>
      </c>
      <c r="O99" s="82"/>
      <c r="P99" s="82"/>
      <c r="Q99" s="47">
        <v>233</v>
      </c>
      <c r="R99" s="47">
        <v>377</v>
      </c>
      <c r="S99" s="47">
        <v>19</v>
      </c>
      <c r="T99" s="47">
        <v>20</v>
      </c>
      <c r="U99" s="47"/>
      <c r="V99" s="47">
        <v>1</v>
      </c>
      <c r="W99" s="47">
        <v>1</v>
      </c>
      <c r="X99" s="47">
        <v>1</v>
      </c>
      <c r="Y99" s="47"/>
      <c r="Z99" s="14"/>
    </row>
    <row r="100" spans="1:26" x14ac:dyDescent="0.25">
      <c r="A100" s="76">
        <v>93</v>
      </c>
      <c r="B100" s="76"/>
      <c r="C100" s="76"/>
      <c r="D100" s="76"/>
      <c r="E100" s="14"/>
      <c r="F100" s="1" t="str">
        <f>Assembler!M95</f>
        <v/>
      </c>
      <c r="G100" s="9">
        <f t="shared" si="7"/>
        <v>0</v>
      </c>
      <c r="H100" s="9" t="str">
        <f t="shared" si="8"/>
        <v>0</v>
      </c>
      <c r="I100" s="9" t="str">
        <f t="shared" si="9"/>
        <v>0</v>
      </c>
      <c r="J100" s="6">
        <f t="shared" si="10"/>
        <v>0</v>
      </c>
      <c r="K100" s="6">
        <f t="shared" si="11"/>
        <v>0</v>
      </c>
      <c r="L100" s="47">
        <v>9</v>
      </c>
      <c r="M100" s="47">
        <v>17</v>
      </c>
      <c r="N100" s="82">
        <v>11001111</v>
      </c>
      <c r="O100" s="82"/>
      <c r="P100" s="82"/>
      <c r="Q100" s="47">
        <v>233</v>
      </c>
      <c r="R100" s="47">
        <v>377</v>
      </c>
      <c r="S100" s="47">
        <v>19</v>
      </c>
      <c r="T100" s="47">
        <v>20</v>
      </c>
      <c r="U100" s="47"/>
      <c r="V100" s="47">
        <v>1</v>
      </c>
      <c r="W100" s="47">
        <v>1</v>
      </c>
      <c r="X100" s="47">
        <v>1</v>
      </c>
      <c r="Y100" s="47"/>
      <c r="Z100" s="14"/>
    </row>
    <row r="101" spans="1:26" x14ac:dyDescent="0.25">
      <c r="A101" s="76">
        <v>94</v>
      </c>
      <c r="B101" s="76"/>
      <c r="C101" s="76"/>
      <c r="D101" s="76"/>
      <c r="E101" s="14"/>
      <c r="F101" s="1" t="str">
        <f>Assembler!M96</f>
        <v/>
      </c>
      <c r="G101" s="9">
        <f t="shared" si="7"/>
        <v>0</v>
      </c>
      <c r="H101" s="9" t="str">
        <f t="shared" si="8"/>
        <v>0</v>
      </c>
      <c r="I101" s="9" t="str">
        <f t="shared" si="9"/>
        <v>0</v>
      </c>
      <c r="J101" s="6">
        <f t="shared" si="10"/>
        <v>0</v>
      </c>
      <c r="K101" s="6">
        <f t="shared" si="11"/>
        <v>0</v>
      </c>
      <c r="L101" s="47">
        <v>11</v>
      </c>
      <c r="M101" s="47"/>
      <c r="N101" s="82"/>
      <c r="O101" s="82"/>
      <c r="P101" s="82"/>
      <c r="Q101" s="47"/>
      <c r="R101" s="47"/>
      <c r="S101" s="47"/>
      <c r="T101" s="47"/>
      <c r="U101" s="47"/>
      <c r="V101" s="47"/>
      <c r="W101" s="47"/>
      <c r="X101" s="47"/>
      <c r="Y101" s="47"/>
      <c r="Z101" s="14"/>
    </row>
    <row r="102" spans="1:26" x14ac:dyDescent="0.25">
      <c r="A102" s="76">
        <v>95</v>
      </c>
      <c r="B102" s="76"/>
      <c r="C102" s="76"/>
      <c r="D102" s="76"/>
      <c r="E102" s="14"/>
      <c r="F102" s="1" t="str">
        <f>Assembler!M97</f>
        <v/>
      </c>
      <c r="G102" s="9">
        <f t="shared" si="7"/>
        <v>0</v>
      </c>
      <c r="H102" s="9" t="str">
        <f t="shared" si="8"/>
        <v>0</v>
      </c>
      <c r="I102" s="9" t="str">
        <f t="shared" si="9"/>
        <v>0</v>
      </c>
      <c r="J102" s="6">
        <f t="shared" si="10"/>
        <v>0</v>
      </c>
      <c r="K102" s="6">
        <f t="shared" si="11"/>
        <v>0</v>
      </c>
      <c r="L102" s="47"/>
      <c r="M102" s="47"/>
      <c r="N102" s="82"/>
      <c r="O102" s="82"/>
      <c r="P102" s="82"/>
      <c r="Q102" s="47"/>
      <c r="R102" s="47"/>
      <c r="S102" s="47"/>
      <c r="T102" s="47"/>
      <c r="U102" s="47"/>
      <c r="V102" s="47"/>
      <c r="W102" s="47"/>
      <c r="X102" s="47"/>
      <c r="Y102" s="47"/>
      <c r="Z102" s="14"/>
    </row>
    <row r="103" spans="1:26" x14ac:dyDescent="0.25">
      <c r="A103" s="76">
        <v>96</v>
      </c>
      <c r="B103" s="76"/>
      <c r="C103" s="76"/>
      <c r="D103" s="76"/>
      <c r="E103" s="14"/>
      <c r="F103" s="1" t="str">
        <f>Assembler!M98</f>
        <v/>
      </c>
      <c r="G103" s="9">
        <f t="shared" si="7"/>
        <v>0</v>
      </c>
      <c r="H103" s="9" t="str">
        <f t="shared" si="8"/>
        <v>0</v>
      </c>
      <c r="I103" s="9" t="str">
        <f t="shared" si="9"/>
        <v>0</v>
      </c>
      <c r="J103" s="6">
        <f t="shared" si="10"/>
        <v>0</v>
      </c>
      <c r="K103" s="6">
        <f t="shared" si="11"/>
        <v>0</v>
      </c>
      <c r="L103" s="47"/>
      <c r="M103" s="47"/>
      <c r="N103" s="82"/>
      <c r="O103" s="82"/>
      <c r="P103" s="82"/>
      <c r="Q103" s="47"/>
      <c r="R103" s="47"/>
      <c r="S103" s="47"/>
      <c r="T103" s="47"/>
      <c r="U103" s="47"/>
      <c r="V103" s="47"/>
      <c r="W103" s="47"/>
      <c r="X103" s="47"/>
      <c r="Y103" s="47"/>
      <c r="Z103" s="14"/>
    </row>
    <row r="104" spans="1:26" x14ac:dyDescent="0.25">
      <c r="A104" s="76">
        <v>97</v>
      </c>
      <c r="B104" s="76"/>
      <c r="C104" s="76"/>
      <c r="D104" s="76"/>
      <c r="E104" s="14"/>
      <c r="F104" s="1" t="str">
        <f>Assembler!M99</f>
        <v/>
      </c>
      <c r="G104" s="9">
        <f t="shared" si="7"/>
        <v>0</v>
      </c>
      <c r="H104" s="9" t="str">
        <f t="shared" si="8"/>
        <v>0</v>
      </c>
      <c r="I104" s="9" t="str">
        <f t="shared" si="9"/>
        <v>0</v>
      </c>
      <c r="J104" s="6">
        <f t="shared" si="10"/>
        <v>0</v>
      </c>
      <c r="K104" s="6">
        <f t="shared" si="11"/>
        <v>0</v>
      </c>
      <c r="L104" s="47"/>
      <c r="M104" s="47"/>
      <c r="N104" s="82"/>
      <c r="O104" s="82"/>
      <c r="P104" s="82"/>
      <c r="Q104" s="47"/>
      <c r="R104" s="47"/>
      <c r="S104" s="47"/>
      <c r="T104" s="47"/>
      <c r="U104" s="47"/>
      <c r="V104" s="47"/>
      <c r="W104" s="47"/>
      <c r="X104" s="47"/>
      <c r="Y104" s="47"/>
      <c r="Z104" s="14"/>
    </row>
    <row r="105" spans="1:26" x14ac:dyDescent="0.25">
      <c r="A105" s="76">
        <v>98</v>
      </c>
      <c r="B105" s="76"/>
      <c r="C105" s="76"/>
      <c r="D105" s="76"/>
      <c r="E105" s="14"/>
      <c r="F105" s="1" t="str">
        <f>Assembler!M100</f>
        <v/>
      </c>
      <c r="G105" s="9">
        <f t="shared" si="7"/>
        <v>0</v>
      </c>
      <c r="H105" s="9" t="str">
        <f t="shared" si="8"/>
        <v>0</v>
      </c>
      <c r="I105" s="9" t="str">
        <f t="shared" si="9"/>
        <v>0</v>
      </c>
      <c r="J105" s="6">
        <f t="shared" si="10"/>
        <v>0</v>
      </c>
      <c r="K105" s="6">
        <f t="shared" si="11"/>
        <v>0</v>
      </c>
      <c r="L105" s="47"/>
      <c r="M105" s="47"/>
      <c r="N105" s="82"/>
      <c r="O105" s="82"/>
      <c r="P105" s="82"/>
      <c r="Q105" s="47"/>
      <c r="R105" s="47"/>
      <c r="S105" s="47"/>
      <c r="T105" s="47"/>
      <c r="U105" s="47"/>
      <c r="V105" s="47"/>
      <c r="W105" s="47"/>
      <c r="X105" s="47"/>
      <c r="Y105" s="47"/>
      <c r="Z105" s="14"/>
    </row>
    <row r="106" spans="1:26" x14ac:dyDescent="0.25">
      <c r="A106" s="76">
        <v>99</v>
      </c>
      <c r="B106" s="76"/>
      <c r="C106" s="76"/>
      <c r="D106" s="76"/>
      <c r="E106" s="14"/>
      <c r="F106" s="1" t="str">
        <f>Assembler!M101</f>
        <v/>
      </c>
      <c r="G106" s="9">
        <f t="shared" si="7"/>
        <v>0</v>
      </c>
      <c r="H106" s="9" t="str">
        <f t="shared" si="8"/>
        <v>0</v>
      </c>
      <c r="I106" s="9" t="str">
        <f t="shared" si="9"/>
        <v>0</v>
      </c>
      <c r="J106" s="6">
        <f t="shared" si="10"/>
        <v>0</v>
      </c>
      <c r="K106" s="6">
        <f t="shared" si="11"/>
        <v>0</v>
      </c>
      <c r="L106" s="47"/>
      <c r="M106" s="47"/>
      <c r="N106" s="82"/>
      <c r="O106" s="82"/>
      <c r="P106" s="82"/>
      <c r="Q106" s="47"/>
      <c r="R106" s="47"/>
      <c r="S106" s="47"/>
      <c r="T106" s="47"/>
      <c r="U106" s="47"/>
      <c r="V106" s="47"/>
      <c r="W106" s="47"/>
      <c r="X106" s="47"/>
      <c r="Y106" s="47"/>
      <c r="Z106" s="14"/>
    </row>
    <row r="107" spans="1:26" x14ac:dyDescent="0.25">
      <c r="A107" s="76">
        <v>100</v>
      </c>
      <c r="B107" s="76"/>
      <c r="C107" s="76"/>
      <c r="D107" s="76"/>
      <c r="E107" s="14"/>
      <c r="F107" s="1" t="str">
        <f>Assembler!M102</f>
        <v/>
      </c>
      <c r="G107" s="9">
        <f t="shared" si="7"/>
        <v>0</v>
      </c>
      <c r="H107" s="9" t="str">
        <f t="shared" si="8"/>
        <v>0</v>
      </c>
      <c r="I107" s="9" t="str">
        <f t="shared" si="9"/>
        <v>0</v>
      </c>
      <c r="J107" s="6">
        <f t="shared" si="10"/>
        <v>0</v>
      </c>
      <c r="K107" s="6">
        <f t="shared" si="11"/>
        <v>0</v>
      </c>
      <c r="L107" s="47"/>
      <c r="M107" s="47"/>
      <c r="N107" s="82"/>
      <c r="O107" s="82"/>
      <c r="P107" s="82"/>
      <c r="Q107" s="47"/>
      <c r="R107" s="47"/>
      <c r="S107" s="47"/>
      <c r="T107" s="47"/>
      <c r="U107" s="47"/>
      <c r="V107" s="47"/>
      <c r="W107" s="47"/>
      <c r="X107" s="47"/>
      <c r="Y107" s="47"/>
      <c r="Z107" s="14"/>
    </row>
    <row r="108" spans="1:26" x14ac:dyDescent="0.25">
      <c r="A108" s="76">
        <v>101</v>
      </c>
      <c r="B108" s="76"/>
      <c r="C108" s="76"/>
      <c r="D108" s="76"/>
      <c r="E108" s="14"/>
      <c r="F108" s="1" t="str">
        <f>Assembler!M103</f>
        <v/>
      </c>
      <c r="G108" s="9">
        <f t="shared" si="7"/>
        <v>0</v>
      </c>
      <c r="H108" s="9" t="str">
        <f t="shared" si="8"/>
        <v>0</v>
      </c>
      <c r="I108" s="9" t="str">
        <f t="shared" si="9"/>
        <v>0</v>
      </c>
      <c r="J108" s="6">
        <f t="shared" si="10"/>
        <v>0</v>
      </c>
      <c r="K108" s="6">
        <f t="shared" si="11"/>
        <v>0</v>
      </c>
      <c r="L108" s="47"/>
      <c r="M108" s="47"/>
      <c r="N108" s="82"/>
      <c r="O108" s="82"/>
      <c r="P108" s="82"/>
      <c r="Q108" s="47"/>
      <c r="R108" s="47"/>
      <c r="S108" s="47"/>
      <c r="T108" s="47"/>
      <c r="U108" s="47"/>
      <c r="V108" s="47"/>
      <c r="W108" s="47"/>
      <c r="X108" s="47"/>
      <c r="Y108" s="47"/>
      <c r="Z108" s="14"/>
    </row>
    <row r="109" spans="1:26" x14ac:dyDescent="0.25">
      <c r="A109" s="76">
        <v>102</v>
      </c>
      <c r="B109" s="76"/>
      <c r="C109" s="76"/>
      <c r="D109" s="76"/>
      <c r="E109" s="14"/>
      <c r="F109" s="1" t="str">
        <f>Assembler!M104</f>
        <v/>
      </c>
      <c r="G109" s="9">
        <f t="shared" si="7"/>
        <v>0</v>
      </c>
      <c r="H109" s="9" t="str">
        <f t="shared" si="8"/>
        <v>0</v>
      </c>
      <c r="I109" s="9" t="str">
        <f t="shared" si="9"/>
        <v>0</v>
      </c>
      <c r="J109" s="6">
        <f t="shared" si="10"/>
        <v>0</v>
      </c>
      <c r="K109" s="6">
        <f t="shared" si="11"/>
        <v>0</v>
      </c>
      <c r="L109" s="47"/>
      <c r="M109" s="47"/>
      <c r="N109" s="82"/>
      <c r="O109" s="82"/>
      <c r="P109" s="82"/>
      <c r="Q109" s="47"/>
      <c r="R109" s="47"/>
      <c r="S109" s="47"/>
      <c r="T109" s="47"/>
      <c r="U109" s="47"/>
      <c r="V109" s="47"/>
      <c r="W109" s="47"/>
      <c r="X109" s="47"/>
      <c r="Y109" s="47"/>
      <c r="Z109" s="14"/>
    </row>
    <row r="110" spans="1:26" x14ac:dyDescent="0.25">
      <c r="A110" s="76">
        <v>103</v>
      </c>
      <c r="B110" s="76"/>
      <c r="C110" s="76"/>
      <c r="D110" s="76"/>
      <c r="E110" s="14"/>
      <c r="F110" s="1" t="str">
        <f>Assembler!M105</f>
        <v/>
      </c>
      <c r="G110" s="9">
        <f t="shared" si="7"/>
        <v>0</v>
      </c>
      <c r="H110" s="9" t="str">
        <f t="shared" si="8"/>
        <v>0</v>
      </c>
      <c r="I110" s="9" t="str">
        <f t="shared" si="9"/>
        <v>0</v>
      </c>
      <c r="J110" s="6">
        <f t="shared" si="10"/>
        <v>0</v>
      </c>
      <c r="K110" s="6">
        <f t="shared" si="11"/>
        <v>0</v>
      </c>
      <c r="L110" s="47"/>
      <c r="M110" s="47"/>
      <c r="N110" s="82"/>
      <c r="O110" s="82"/>
      <c r="P110" s="82"/>
      <c r="Q110" s="47"/>
      <c r="R110" s="47"/>
      <c r="S110" s="47"/>
      <c r="T110" s="47"/>
      <c r="U110" s="47"/>
      <c r="V110" s="47"/>
      <c r="W110" s="47"/>
      <c r="X110" s="47"/>
      <c r="Y110" s="47"/>
      <c r="Z110" s="14"/>
    </row>
    <row r="111" spans="1:26" x14ac:dyDescent="0.25">
      <c r="A111" s="76">
        <v>104</v>
      </c>
      <c r="B111" s="76"/>
      <c r="C111" s="76"/>
      <c r="D111" s="76"/>
      <c r="E111" s="14"/>
      <c r="F111" s="1" t="str">
        <f>Assembler!M106</f>
        <v/>
      </c>
      <c r="G111" s="9">
        <f t="shared" si="7"/>
        <v>0</v>
      </c>
      <c r="H111" s="9" t="str">
        <f t="shared" si="8"/>
        <v>0</v>
      </c>
      <c r="I111" s="9" t="str">
        <f t="shared" si="9"/>
        <v>0</v>
      </c>
      <c r="J111" s="6">
        <f t="shared" si="10"/>
        <v>0</v>
      </c>
      <c r="K111" s="6">
        <f t="shared" si="11"/>
        <v>0</v>
      </c>
      <c r="L111" s="47"/>
      <c r="M111" s="47"/>
      <c r="N111" s="82"/>
      <c r="O111" s="82"/>
      <c r="P111" s="82"/>
      <c r="Q111" s="47"/>
      <c r="R111" s="47"/>
      <c r="S111" s="47"/>
      <c r="T111" s="47"/>
      <c r="U111" s="47"/>
      <c r="V111" s="47"/>
      <c r="W111" s="47"/>
      <c r="X111" s="47"/>
      <c r="Y111" s="47"/>
      <c r="Z111" s="14"/>
    </row>
    <row r="112" spans="1:26" x14ac:dyDescent="0.25">
      <c r="A112" s="76">
        <v>105</v>
      </c>
      <c r="B112" s="76"/>
      <c r="C112" s="76"/>
      <c r="D112" s="76"/>
      <c r="E112" s="14"/>
      <c r="F112" s="1" t="str">
        <f>Assembler!M107</f>
        <v/>
      </c>
      <c r="G112" s="9">
        <f t="shared" si="7"/>
        <v>0</v>
      </c>
      <c r="H112" s="9" t="str">
        <f t="shared" si="8"/>
        <v>0</v>
      </c>
      <c r="I112" s="9" t="str">
        <f t="shared" si="9"/>
        <v>0</v>
      </c>
      <c r="J112" s="6">
        <f t="shared" si="10"/>
        <v>0</v>
      </c>
      <c r="K112" s="6">
        <f t="shared" si="11"/>
        <v>0</v>
      </c>
      <c r="L112" s="47"/>
      <c r="M112" s="47"/>
      <c r="N112" s="82"/>
      <c r="O112" s="82"/>
      <c r="P112" s="82"/>
      <c r="Q112" s="47"/>
      <c r="R112" s="47"/>
      <c r="S112" s="47"/>
      <c r="T112" s="47"/>
      <c r="U112" s="47"/>
      <c r="V112" s="47"/>
      <c r="W112" s="47"/>
      <c r="X112" s="47"/>
      <c r="Y112" s="47"/>
      <c r="Z112" s="14"/>
    </row>
    <row r="113" spans="1:26" x14ac:dyDescent="0.25">
      <c r="A113" s="76">
        <v>106</v>
      </c>
      <c r="B113" s="76"/>
      <c r="C113" s="76"/>
      <c r="D113" s="76"/>
      <c r="E113" s="14"/>
      <c r="F113" s="1" t="str">
        <f>Assembler!M108</f>
        <v/>
      </c>
      <c r="G113" s="9">
        <f t="shared" si="7"/>
        <v>0</v>
      </c>
      <c r="H113" s="9" t="str">
        <f t="shared" si="8"/>
        <v>0</v>
      </c>
      <c r="I113" s="9" t="str">
        <f t="shared" si="9"/>
        <v>0</v>
      </c>
      <c r="J113" s="6">
        <f t="shared" si="10"/>
        <v>0</v>
      </c>
      <c r="K113" s="6">
        <f t="shared" si="11"/>
        <v>0</v>
      </c>
      <c r="L113" s="47"/>
      <c r="M113" s="47"/>
      <c r="N113" s="82"/>
      <c r="O113" s="82"/>
      <c r="P113" s="82"/>
      <c r="Q113" s="47"/>
      <c r="R113" s="47"/>
      <c r="S113" s="47"/>
      <c r="T113" s="47"/>
      <c r="U113" s="47"/>
      <c r="V113" s="47"/>
      <c r="W113" s="47"/>
      <c r="X113" s="47"/>
      <c r="Y113" s="47"/>
      <c r="Z113" s="14"/>
    </row>
    <row r="114" spans="1:26" x14ac:dyDescent="0.25">
      <c r="A114" s="76">
        <v>107</v>
      </c>
      <c r="B114" s="76"/>
      <c r="C114" s="76"/>
      <c r="D114" s="76"/>
      <c r="E114" s="14"/>
      <c r="F114" s="1" t="str">
        <f>Assembler!M109</f>
        <v/>
      </c>
      <c r="G114" s="9">
        <f t="shared" si="7"/>
        <v>0</v>
      </c>
      <c r="H114" s="9" t="str">
        <f t="shared" si="8"/>
        <v>0</v>
      </c>
      <c r="I114" s="9" t="str">
        <f t="shared" si="9"/>
        <v>0</v>
      </c>
      <c r="J114" s="6">
        <f t="shared" si="10"/>
        <v>0</v>
      </c>
      <c r="K114" s="6">
        <f t="shared" si="11"/>
        <v>0</v>
      </c>
      <c r="L114" s="47"/>
      <c r="M114" s="47"/>
      <c r="N114" s="82"/>
      <c r="O114" s="82"/>
      <c r="P114" s="82"/>
      <c r="Q114" s="47"/>
      <c r="R114" s="47"/>
      <c r="S114" s="47"/>
      <c r="T114" s="47"/>
      <c r="U114" s="47"/>
      <c r="V114" s="47"/>
      <c r="W114" s="47"/>
      <c r="X114" s="47"/>
      <c r="Y114" s="47"/>
      <c r="Z114" s="14"/>
    </row>
    <row r="115" spans="1:26" x14ac:dyDescent="0.25">
      <c r="A115" s="76">
        <v>108</v>
      </c>
      <c r="B115" s="76"/>
      <c r="C115" s="76"/>
      <c r="D115" s="76"/>
      <c r="E115" s="14"/>
      <c r="F115" s="1" t="str">
        <f>Assembler!M110</f>
        <v/>
      </c>
      <c r="G115" s="9">
        <f t="shared" si="7"/>
        <v>0</v>
      </c>
      <c r="H115" s="9" t="str">
        <f t="shared" si="8"/>
        <v>0</v>
      </c>
      <c r="I115" s="9" t="str">
        <f t="shared" si="9"/>
        <v>0</v>
      </c>
      <c r="J115" s="6">
        <f t="shared" si="10"/>
        <v>0</v>
      </c>
      <c r="K115" s="6">
        <f t="shared" si="11"/>
        <v>0</v>
      </c>
      <c r="L115" s="47"/>
      <c r="M115" s="47"/>
      <c r="N115" s="82"/>
      <c r="O115" s="82"/>
      <c r="P115" s="82"/>
      <c r="Q115" s="47"/>
      <c r="R115" s="47"/>
      <c r="S115" s="47"/>
      <c r="T115" s="47"/>
      <c r="U115" s="47"/>
      <c r="V115" s="47"/>
      <c r="W115" s="47"/>
      <c r="X115" s="47"/>
      <c r="Y115" s="47"/>
      <c r="Z115" s="14"/>
    </row>
    <row r="116" spans="1:26" x14ac:dyDescent="0.25">
      <c r="A116" s="76">
        <v>109</v>
      </c>
      <c r="B116" s="76"/>
      <c r="C116" s="76"/>
      <c r="D116" s="76"/>
      <c r="E116" s="14"/>
      <c r="F116" s="1" t="str">
        <f>Assembler!M111</f>
        <v/>
      </c>
      <c r="G116" s="9">
        <f t="shared" si="7"/>
        <v>0</v>
      </c>
      <c r="H116" s="9" t="str">
        <f t="shared" si="8"/>
        <v>0</v>
      </c>
      <c r="I116" s="9" t="str">
        <f t="shared" si="9"/>
        <v>0</v>
      </c>
      <c r="J116" s="6">
        <f t="shared" si="10"/>
        <v>0</v>
      </c>
      <c r="K116" s="6">
        <f t="shared" si="11"/>
        <v>0</v>
      </c>
      <c r="L116" s="47"/>
      <c r="M116" s="47"/>
      <c r="N116" s="82"/>
      <c r="O116" s="82"/>
      <c r="P116" s="82"/>
      <c r="Q116" s="47"/>
      <c r="R116" s="47"/>
      <c r="S116" s="47"/>
      <c r="T116" s="47"/>
      <c r="U116" s="47"/>
      <c r="V116" s="47"/>
      <c r="W116" s="47"/>
      <c r="X116" s="47"/>
      <c r="Y116" s="47"/>
      <c r="Z116" s="14"/>
    </row>
    <row r="117" spans="1:26" x14ac:dyDescent="0.25">
      <c r="A117" s="76">
        <v>110</v>
      </c>
      <c r="B117" s="76"/>
      <c r="C117" s="76"/>
      <c r="D117" s="76"/>
      <c r="E117" s="14"/>
      <c r="F117" s="1" t="str">
        <f>Assembler!M112</f>
        <v/>
      </c>
      <c r="G117" s="9">
        <f t="shared" si="7"/>
        <v>0</v>
      </c>
      <c r="H117" s="9" t="str">
        <f t="shared" si="8"/>
        <v>0</v>
      </c>
      <c r="I117" s="9" t="str">
        <f t="shared" si="9"/>
        <v>0</v>
      </c>
      <c r="J117" s="6">
        <f t="shared" si="10"/>
        <v>0</v>
      </c>
      <c r="K117" s="6">
        <f t="shared" si="11"/>
        <v>0</v>
      </c>
      <c r="L117" s="47"/>
      <c r="M117" s="47"/>
      <c r="N117" s="82"/>
      <c r="O117" s="82"/>
      <c r="P117" s="82"/>
      <c r="Q117" s="47"/>
      <c r="R117" s="47"/>
      <c r="S117" s="47"/>
      <c r="T117" s="47"/>
      <c r="U117" s="47"/>
      <c r="V117" s="47"/>
      <c r="W117" s="47"/>
      <c r="X117" s="47"/>
      <c r="Y117" s="47"/>
      <c r="Z117" s="14"/>
    </row>
    <row r="118" spans="1:26" x14ac:dyDescent="0.25">
      <c r="A118" s="76">
        <v>111</v>
      </c>
      <c r="B118" s="76"/>
      <c r="C118" s="76"/>
      <c r="D118" s="76"/>
      <c r="E118" s="14"/>
      <c r="F118" s="1" t="str">
        <f>Assembler!M113</f>
        <v/>
      </c>
      <c r="G118" s="9">
        <f t="shared" si="7"/>
        <v>0</v>
      </c>
      <c r="H118" s="9" t="str">
        <f t="shared" si="8"/>
        <v>0</v>
      </c>
      <c r="I118" s="9" t="str">
        <f t="shared" si="9"/>
        <v>0</v>
      </c>
      <c r="J118" s="6">
        <f t="shared" si="10"/>
        <v>0</v>
      </c>
      <c r="K118" s="6">
        <f t="shared" si="11"/>
        <v>0</v>
      </c>
      <c r="L118" s="47"/>
      <c r="M118" s="47"/>
      <c r="N118" s="82"/>
      <c r="O118" s="82"/>
      <c r="P118" s="82"/>
      <c r="Q118" s="47"/>
      <c r="R118" s="47"/>
      <c r="S118" s="47"/>
      <c r="T118" s="47"/>
      <c r="U118" s="47"/>
      <c r="V118" s="47"/>
      <c r="W118" s="47"/>
      <c r="X118" s="47"/>
      <c r="Y118" s="47"/>
      <c r="Z118" s="14"/>
    </row>
    <row r="119" spans="1:26" x14ac:dyDescent="0.25">
      <c r="A119" s="76">
        <v>112</v>
      </c>
      <c r="B119" s="76"/>
      <c r="C119" s="76"/>
      <c r="D119" s="76"/>
      <c r="E119" s="14"/>
      <c r="F119" s="1" t="str">
        <f>Assembler!M114</f>
        <v/>
      </c>
      <c r="G119" s="9">
        <f t="shared" si="7"/>
        <v>0</v>
      </c>
      <c r="H119" s="9" t="str">
        <f t="shared" si="8"/>
        <v>0</v>
      </c>
      <c r="I119" s="9" t="str">
        <f t="shared" si="9"/>
        <v>0</v>
      </c>
      <c r="J119" s="6">
        <f t="shared" si="10"/>
        <v>0</v>
      </c>
      <c r="K119" s="6">
        <f t="shared" si="11"/>
        <v>0</v>
      </c>
      <c r="L119" s="47"/>
      <c r="M119" s="47"/>
      <c r="N119" s="82"/>
      <c r="O119" s="82"/>
      <c r="P119" s="82"/>
      <c r="Q119" s="47"/>
      <c r="R119" s="47"/>
      <c r="S119" s="47"/>
      <c r="T119" s="47"/>
      <c r="U119" s="47"/>
      <c r="V119" s="47"/>
      <c r="W119" s="47"/>
      <c r="X119" s="47"/>
      <c r="Y119" s="47"/>
      <c r="Z119" s="14"/>
    </row>
    <row r="120" spans="1:26" x14ac:dyDescent="0.25">
      <c r="A120" s="76">
        <v>113</v>
      </c>
      <c r="B120" s="76"/>
      <c r="C120" s="76"/>
      <c r="D120" s="76"/>
      <c r="E120" s="14"/>
      <c r="F120" s="1" t="str">
        <f>Assembler!M115</f>
        <v/>
      </c>
      <c r="G120" s="9">
        <f t="shared" si="7"/>
        <v>0</v>
      </c>
      <c r="H120" s="9" t="str">
        <f t="shared" si="8"/>
        <v>0</v>
      </c>
      <c r="I120" s="9" t="str">
        <f t="shared" si="9"/>
        <v>0</v>
      </c>
      <c r="J120" s="6">
        <f t="shared" si="10"/>
        <v>0</v>
      </c>
      <c r="K120" s="6">
        <f t="shared" si="11"/>
        <v>0</v>
      </c>
      <c r="L120" s="47"/>
      <c r="M120" s="47"/>
      <c r="N120" s="82"/>
      <c r="O120" s="82"/>
      <c r="P120" s="82"/>
      <c r="Q120" s="47"/>
      <c r="R120" s="47"/>
      <c r="S120" s="47"/>
      <c r="T120" s="47"/>
      <c r="U120" s="47"/>
      <c r="V120" s="47"/>
      <c r="W120" s="47"/>
      <c r="X120" s="47"/>
      <c r="Y120" s="47"/>
      <c r="Z120" s="14"/>
    </row>
    <row r="121" spans="1:26" x14ac:dyDescent="0.25">
      <c r="A121" s="76">
        <v>114</v>
      </c>
      <c r="B121" s="76"/>
      <c r="C121" s="76"/>
      <c r="D121" s="76"/>
      <c r="E121" s="14"/>
      <c r="F121" s="1" t="str">
        <f>Assembler!M116</f>
        <v/>
      </c>
      <c r="G121" s="9">
        <f t="shared" si="7"/>
        <v>0</v>
      </c>
      <c r="H121" s="9" t="str">
        <f t="shared" si="8"/>
        <v>0</v>
      </c>
      <c r="I121" s="9" t="str">
        <f t="shared" si="9"/>
        <v>0</v>
      </c>
      <c r="J121" s="6">
        <f t="shared" si="10"/>
        <v>0</v>
      </c>
      <c r="K121" s="6">
        <f t="shared" si="11"/>
        <v>0</v>
      </c>
      <c r="L121" s="47"/>
      <c r="M121" s="47"/>
      <c r="N121" s="82"/>
      <c r="O121" s="82"/>
      <c r="P121" s="82"/>
      <c r="Q121" s="47"/>
      <c r="R121" s="47"/>
      <c r="S121" s="47"/>
      <c r="T121" s="47"/>
      <c r="U121" s="47"/>
      <c r="V121" s="47"/>
      <c r="W121" s="47"/>
      <c r="X121" s="47"/>
      <c r="Y121" s="47"/>
      <c r="Z121" s="14"/>
    </row>
    <row r="122" spans="1:26" x14ac:dyDescent="0.25">
      <c r="A122" s="76">
        <v>115</v>
      </c>
      <c r="B122" s="76"/>
      <c r="C122" s="76"/>
      <c r="D122" s="76"/>
      <c r="E122" s="14"/>
      <c r="F122" s="1" t="str">
        <f>Assembler!M117</f>
        <v/>
      </c>
      <c r="G122" s="9">
        <f t="shared" si="7"/>
        <v>0</v>
      </c>
      <c r="H122" s="9" t="str">
        <f t="shared" si="8"/>
        <v>0</v>
      </c>
      <c r="I122" s="9" t="str">
        <f t="shared" si="9"/>
        <v>0</v>
      </c>
      <c r="J122" s="6">
        <f t="shared" si="10"/>
        <v>0</v>
      </c>
      <c r="K122" s="6">
        <f t="shared" si="11"/>
        <v>0</v>
      </c>
      <c r="L122" s="47"/>
      <c r="M122" s="47"/>
      <c r="N122" s="82"/>
      <c r="O122" s="82"/>
      <c r="P122" s="82"/>
      <c r="Q122" s="47"/>
      <c r="R122" s="47"/>
      <c r="S122" s="47"/>
      <c r="T122" s="47"/>
      <c r="U122" s="47"/>
      <c r="V122" s="47"/>
      <c r="W122" s="47"/>
      <c r="X122" s="47"/>
      <c r="Y122" s="47"/>
      <c r="Z122" s="14"/>
    </row>
    <row r="123" spans="1:26" x14ac:dyDescent="0.25">
      <c r="A123" s="76">
        <v>116</v>
      </c>
      <c r="B123" s="76"/>
      <c r="C123" s="76"/>
      <c r="D123" s="76"/>
      <c r="E123" s="14"/>
      <c r="F123" s="1" t="str">
        <f>Assembler!M118</f>
        <v/>
      </c>
      <c r="G123" s="9">
        <f t="shared" si="7"/>
        <v>0</v>
      </c>
      <c r="H123" s="9" t="str">
        <f t="shared" si="8"/>
        <v>0</v>
      </c>
      <c r="I123" s="9" t="str">
        <f t="shared" si="9"/>
        <v>0</v>
      </c>
      <c r="J123" s="6">
        <f t="shared" si="10"/>
        <v>0</v>
      </c>
      <c r="K123" s="6">
        <f t="shared" si="11"/>
        <v>0</v>
      </c>
      <c r="L123" s="47"/>
      <c r="M123" s="47"/>
      <c r="N123" s="82"/>
      <c r="O123" s="82"/>
      <c r="P123" s="82"/>
      <c r="Q123" s="47"/>
      <c r="R123" s="47"/>
      <c r="S123" s="47"/>
      <c r="T123" s="47"/>
      <c r="U123" s="47"/>
      <c r="V123" s="47"/>
      <c r="W123" s="47"/>
      <c r="X123" s="47"/>
      <c r="Y123" s="47"/>
      <c r="Z123" s="14"/>
    </row>
    <row r="124" spans="1:26" x14ac:dyDescent="0.25">
      <c r="A124" s="76">
        <v>117</v>
      </c>
      <c r="B124" s="76"/>
      <c r="C124" s="76"/>
      <c r="D124" s="76"/>
      <c r="E124" s="14"/>
      <c r="F124" s="1" t="str">
        <f>Assembler!M119</f>
        <v/>
      </c>
      <c r="G124" s="9">
        <f t="shared" si="7"/>
        <v>0</v>
      </c>
      <c r="H124" s="9" t="str">
        <f t="shared" si="8"/>
        <v>0</v>
      </c>
      <c r="I124" s="9" t="str">
        <f t="shared" si="9"/>
        <v>0</v>
      </c>
      <c r="J124" s="6">
        <f t="shared" si="10"/>
        <v>0</v>
      </c>
      <c r="K124" s="6">
        <f t="shared" si="11"/>
        <v>0</v>
      </c>
      <c r="L124" s="47"/>
      <c r="M124" s="47"/>
      <c r="N124" s="82"/>
      <c r="O124" s="82"/>
      <c r="P124" s="82"/>
      <c r="Q124" s="47"/>
      <c r="R124" s="47"/>
      <c r="S124" s="47"/>
      <c r="T124" s="47"/>
      <c r="U124" s="47"/>
      <c r="V124" s="47"/>
      <c r="W124" s="47"/>
      <c r="X124" s="47"/>
      <c r="Y124" s="47"/>
      <c r="Z124" s="14"/>
    </row>
    <row r="125" spans="1:26" x14ac:dyDescent="0.25">
      <c r="A125" s="76">
        <v>118</v>
      </c>
      <c r="B125" s="76"/>
      <c r="C125" s="76"/>
      <c r="D125" s="76"/>
      <c r="E125" s="14"/>
      <c r="F125" s="1" t="str">
        <f>Assembler!M120</f>
        <v/>
      </c>
      <c r="G125" s="9">
        <f t="shared" si="7"/>
        <v>0</v>
      </c>
      <c r="H125" s="9" t="str">
        <f t="shared" si="8"/>
        <v>0</v>
      </c>
      <c r="I125" s="9" t="str">
        <f t="shared" si="9"/>
        <v>0</v>
      </c>
      <c r="J125" s="6">
        <f t="shared" si="10"/>
        <v>0</v>
      </c>
      <c r="K125" s="6">
        <f t="shared" si="11"/>
        <v>0</v>
      </c>
      <c r="L125" s="47"/>
      <c r="M125" s="47"/>
      <c r="N125" s="82"/>
      <c r="O125" s="82"/>
      <c r="P125" s="82"/>
      <c r="Q125" s="47"/>
      <c r="R125" s="47"/>
      <c r="S125" s="47"/>
      <c r="T125" s="47"/>
      <c r="U125" s="47"/>
      <c r="V125" s="47"/>
      <c r="W125" s="47"/>
      <c r="X125" s="47"/>
      <c r="Y125" s="47"/>
      <c r="Z125" s="14"/>
    </row>
    <row r="126" spans="1:26" x14ac:dyDescent="0.25">
      <c r="A126" s="76">
        <v>119</v>
      </c>
      <c r="B126" s="76"/>
      <c r="C126" s="76"/>
      <c r="D126" s="76"/>
      <c r="E126" s="14"/>
      <c r="F126" s="1" t="str">
        <f>Assembler!M121</f>
        <v/>
      </c>
      <c r="G126" s="9">
        <f t="shared" si="7"/>
        <v>0</v>
      </c>
      <c r="H126" s="9" t="str">
        <f t="shared" si="8"/>
        <v>0</v>
      </c>
      <c r="I126" s="9" t="str">
        <f t="shared" si="9"/>
        <v>0</v>
      </c>
      <c r="J126" s="6">
        <f t="shared" si="10"/>
        <v>0</v>
      </c>
      <c r="K126" s="6">
        <f t="shared" si="11"/>
        <v>0</v>
      </c>
      <c r="L126" s="47"/>
      <c r="M126" s="47"/>
      <c r="N126" s="82"/>
      <c r="O126" s="82"/>
      <c r="P126" s="82"/>
      <c r="Q126" s="47"/>
      <c r="R126" s="47"/>
      <c r="S126" s="47"/>
      <c r="T126" s="47"/>
      <c r="U126" s="47"/>
      <c r="V126" s="47"/>
      <c r="W126" s="47"/>
      <c r="X126" s="47"/>
      <c r="Y126" s="47"/>
      <c r="Z126" s="14"/>
    </row>
    <row r="127" spans="1:26" x14ac:dyDescent="0.25">
      <c r="A127" s="76">
        <v>120</v>
      </c>
      <c r="B127" s="76"/>
      <c r="C127" s="76"/>
      <c r="D127" s="76"/>
      <c r="E127" s="14"/>
      <c r="F127" s="1" t="str">
        <f>Assembler!M122</f>
        <v/>
      </c>
      <c r="G127" s="9">
        <f t="shared" si="7"/>
        <v>0</v>
      </c>
      <c r="H127" s="9" t="str">
        <f t="shared" si="8"/>
        <v>0</v>
      </c>
      <c r="I127" s="9" t="str">
        <f t="shared" si="9"/>
        <v>0</v>
      </c>
      <c r="J127" s="6">
        <f t="shared" si="10"/>
        <v>0</v>
      </c>
      <c r="K127" s="6">
        <f t="shared" si="11"/>
        <v>0</v>
      </c>
      <c r="L127" s="47"/>
      <c r="M127" s="47"/>
      <c r="N127" s="82"/>
      <c r="O127" s="82"/>
      <c r="P127" s="82"/>
      <c r="Q127" s="47"/>
      <c r="R127" s="47"/>
      <c r="S127" s="47"/>
      <c r="T127" s="47"/>
      <c r="U127" s="47"/>
      <c r="V127" s="47"/>
      <c r="W127" s="47"/>
      <c r="X127" s="47"/>
      <c r="Y127" s="47"/>
      <c r="Z127" s="14"/>
    </row>
    <row r="128" spans="1:26" x14ac:dyDescent="0.25">
      <c r="A128" s="76">
        <v>121</v>
      </c>
      <c r="B128" s="76"/>
      <c r="C128" s="76"/>
      <c r="D128" s="76"/>
      <c r="E128" s="14"/>
      <c r="F128" s="1" t="str">
        <f>Assembler!M123</f>
        <v/>
      </c>
      <c r="G128" s="9">
        <f t="shared" si="7"/>
        <v>0</v>
      </c>
      <c r="H128" s="9" t="str">
        <f t="shared" si="8"/>
        <v>0</v>
      </c>
      <c r="I128" s="9" t="str">
        <f t="shared" si="9"/>
        <v>0</v>
      </c>
      <c r="J128" s="6">
        <f t="shared" si="10"/>
        <v>0</v>
      </c>
      <c r="K128" s="6">
        <f t="shared" si="11"/>
        <v>0</v>
      </c>
      <c r="L128" s="47"/>
      <c r="M128" s="47"/>
      <c r="N128" s="82"/>
      <c r="O128" s="82"/>
      <c r="P128" s="82"/>
      <c r="Q128" s="47"/>
      <c r="R128" s="47"/>
      <c r="S128" s="47"/>
      <c r="T128" s="47"/>
      <c r="U128" s="47"/>
      <c r="V128" s="47"/>
      <c r="W128" s="47"/>
      <c r="X128" s="47"/>
      <c r="Y128" s="47"/>
      <c r="Z128" s="14"/>
    </row>
    <row r="129" spans="1:26" x14ac:dyDescent="0.25">
      <c r="A129" s="76">
        <v>122</v>
      </c>
      <c r="B129" s="76"/>
      <c r="C129" s="76"/>
      <c r="D129" s="76"/>
      <c r="E129" s="14"/>
      <c r="F129" s="1" t="str">
        <f>Assembler!M124</f>
        <v/>
      </c>
      <c r="G129" s="9">
        <f t="shared" si="7"/>
        <v>0</v>
      </c>
      <c r="H129" s="9" t="str">
        <f t="shared" si="8"/>
        <v>0</v>
      </c>
      <c r="I129" s="9" t="str">
        <f t="shared" si="9"/>
        <v>0</v>
      </c>
      <c r="J129" s="6">
        <f t="shared" si="10"/>
        <v>0</v>
      </c>
      <c r="K129" s="6">
        <f t="shared" si="11"/>
        <v>0</v>
      </c>
      <c r="L129" s="47"/>
      <c r="M129" s="47"/>
      <c r="N129" s="82"/>
      <c r="O129" s="82"/>
      <c r="P129" s="82"/>
      <c r="Q129" s="47"/>
      <c r="R129" s="47"/>
      <c r="S129" s="47"/>
      <c r="T129" s="47"/>
      <c r="U129" s="47"/>
      <c r="V129" s="47"/>
      <c r="W129" s="47"/>
      <c r="X129" s="47"/>
      <c r="Y129" s="47"/>
      <c r="Z129" s="14"/>
    </row>
    <row r="130" spans="1:26" x14ac:dyDescent="0.25">
      <c r="A130" s="76">
        <v>123</v>
      </c>
      <c r="B130" s="76"/>
      <c r="C130" s="76"/>
      <c r="D130" s="76"/>
      <c r="E130" s="14"/>
      <c r="F130" s="1" t="str">
        <f>Assembler!M125</f>
        <v/>
      </c>
      <c r="G130" s="9">
        <f t="shared" si="7"/>
        <v>0</v>
      </c>
      <c r="H130" s="9" t="str">
        <f t="shared" si="8"/>
        <v>0</v>
      </c>
      <c r="I130" s="9" t="str">
        <f t="shared" si="9"/>
        <v>0</v>
      </c>
      <c r="J130" s="6">
        <f t="shared" si="10"/>
        <v>0</v>
      </c>
      <c r="K130" s="6">
        <f t="shared" si="11"/>
        <v>0</v>
      </c>
      <c r="L130" s="47"/>
      <c r="M130" s="47"/>
      <c r="N130" s="82"/>
      <c r="O130" s="82"/>
      <c r="P130" s="82"/>
      <c r="Q130" s="47"/>
      <c r="R130" s="47"/>
      <c r="S130" s="47"/>
      <c r="T130" s="47"/>
      <c r="U130" s="47"/>
      <c r="V130" s="47"/>
      <c r="W130" s="47"/>
      <c r="X130" s="47"/>
      <c r="Y130" s="47"/>
      <c r="Z130" s="14"/>
    </row>
    <row r="131" spans="1:26" x14ac:dyDescent="0.25">
      <c r="A131" s="76">
        <v>124</v>
      </c>
      <c r="B131" s="76"/>
      <c r="C131" s="76"/>
      <c r="D131" s="76"/>
      <c r="E131" s="14"/>
      <c r="F131" s="1" t="str">
        <f>Assembler!M126</f>
        <v/>
      </c>
      <c r="G131" s="9">
        <f t="shared" si="7"/>
        <v>0</v>
      </c>
      <c r="H131" s="9" t="str">
        <f t="shared" si="8"/>
        <v>0</v>
      </c>
      <c r="I131" s="9" t="str">
        <f t="shared" si="9"/>
        <v>0</v>
      </c>
      <c r="J131" s="6">
        <f t="shared" si="10"/>
        <v>0</v>
      </c>
      <c r="K131" s="6">
        <f t="shared" si="11"/>
        <v>0</v>
      </c>
      <c r="L131" s="47"/>
      <c r="M131" s="47"/>
      <c r="N131" s="82"/>
      <c r="O131" s="82"/>
      <c r="P131" s="82"/>
      <c r="Q131" s="47"/>
      <c r="R131" s="47"/>
      <c r="S131" s="47"/>
      <c r="T131" s="47"/>
      <c r="U131" s="47"/>
      <c r="V131" s="47"/>
      <c r="W131" s="47"/>
      <c r="X131" s="47"/>
      <c r="Y131" s="47"/>
      <c r="Z131" s="14"/>
    </row>
    <row r="132" spans="1:26" x14ac:dyDescent="0.25">
      <c r="A132" s="76">
        <v>125</v>
      </c>
      <c r="B132" s="76"/>
      <c r="C132" s="76"/>
      <c r="D132" s="76"/>
      <c r="E132" s="14"/>
      <c r="F132" s="1" t="str">
        <f>Assembler!M127</f>
        <v/>
      </c>
      <c r="G132" s="9">
        <f t="shared" si="7"/>
        <v>0</v>
      </c>
      <c r="H132" s="9" t="str">
        <f t="shared" si="8"/>
        <v>0</v>
      </c>
      <c r="I132" s="9" t="str">
        <f t="shared" si="9"/>
        <v>0</v>
      </c>
      <c r="J132" s="6">
        <f t="shared" si="10"/>
        <v>0</v>
      </c>
      <c r="K132" s="6">
        <f t="shared" si="11"/>
        <v>0</v>
      </c>
      <c r="L132" s="47"/>
      <c r="M132" s="47"/>
      <c r="N132" s="82"/>
      <c r="O132" s="82"/>
      <c r="P132" s="82"/>
      <c r="Q132" s="47"/>
      <c r="R132" s="47"/>
      <c r="S132" s="47"/>
      <c r="T132" s="47"/>
      <c r="U132" s="47"/>
      <c r="V132" s="47"/>
      <c r="W132" s="47"/>
      <c r="X132" s="47"/>
      <c r="Y132" s="47"/>
      <c r="Z132" s="14"/>
    </row>
    <row r="133" spans="1:26" x14ac:dyDescent="0.25">
      <c r="A133" s="76">
        <v>126</v>
      </c>
      <c r="B133" s="76"/>
      <c r="C133" s="76"/>
      <c r="D133" s="76"/>
      <c r="E133" s="14"/>
      <c r="F133" s="1" t="str">
        <f>Assembler!M128</f>
        <v/>
      </c>
      <c r="G133" s="9">
        <f t="shared" si="7"/>
        <v>0</v>
      </c>
      <c r="H133" s="9" t="str">
        <f t="shared" si="8"/>
        <v>0</v>
      </c>
      <c r="I133" s="9" t="str">
        <f t="shared" si="9"/>
        <v>0</v>
      </c>
      <c r="J133" s="6">
        <f t="shared" si="10"/>
        <v>0</v>
      </c>
      <c r="K133" s="6">
        <f t="shared" si="11"/>
        <v>0</v>
      </c>
      <c r="L133" s="47"/>
      <c r="M133" s="47"/>
      <c r="N133" s="82"/>
      <c r="O133" s="82"/>
      <c r="P133" s="82"/>
      <c r="Q133" s="47"/>
      <c r="R133" s="47"/>
      <c r="S133" s="47"/>
      <c r="T133" s="47"/>
      <c r="U133" s="47"/>
      <c r="V133" s="47"/>
      <c r="W133" s="47"/>
      <c r="X133" s="47"/>
      <c r="Y133" s="47"/>
      <c r="Z133" s="14"/>
    </row>
    <row r="134" spans="1:26" x14ac:dyDescent="0.25">
      <c r="A134" s="76">
        <v>127</v>
      </c>
      <c r="B134" s="76"/>
      <c r="C134" s="76"/>
      <c r="D134" s="76"/>
      <c r="E134" s="14"/>
      <c r="F134" s="1" t="str">
        <f>Assembler!M129</f>
        <v/>
      </c>
      <c r="G134" s="9">
        <f t="shared" si="7"/>
        <v>0</v>
      </c>
      <c r="H134" s="9" t="str">
        <f t="shared" si="8"/>
        <v>0</v>
      </c>
      <c r="I134" s="9" t="str">
        <f t="shared" si="9"/>
        <v>0</v>
      </c>
      <c r="J134" s="6">
        <f t="shared" si="10"/>
        <v>0</v>
      </c>
      <c r="K134" s="6">
        <f t="shared" si="11"/>
        <v>0</v>
      </c>
      <c r="L134" s="47"/>
      <c r="M134" s="47"/>
      <c r="N134" s="82"/>
      <c r="O134" s="82"/>
      <c r="P134" s="82"/>
      <c r="Q134" s="47"/>
      <c r="R134" s="47"/>
      <c r="S134" s="47"/>
      <c r="T134" s="47"/>
      <c r="U134" s="47"/>
      <c r="V134" s="47"/>
      <c r="W134" s="47"/>
      <c r="X134" s="47"/>
      <c r="Y134" s="47"/>
      <c r="Z134" s="14"/>
    </row>
    <row r="135" spans="1:26" x14ac:dyDescent="0.25">
      <c r="A135" s="76">
        <v>128</v>
      </c>
      <c r="B135" s="76"/>
      <c r="C135" s="76"/>
      <c r="D135" s="76"/>
      <c r="E135" s="14"/>
      <c r="F135" s="1" t="str">
        <f>Assembler!M130</f>
        <v/>
      </c>
      <c r="G135" s="9">
        <f t="shared" si="7"/>
        <v>0</v>
      </c>
      <c r="H135" s="9" t="str">
        <f t="shared" si="8"/>
        <v>0</v>
      </c>
      <c r="I135" s="9" t="str">
        <f t="shared" si="9"/>
        <v>0</v>
      </c>
      <c r="J135" s="6">
        <f t="shared" si="10"/>
        <v>0</v>
      </c>
      <c r="K135" s="6">
        <f t="shared" si="11"/>
        <v>0</v>
      </c>
      <c r="L135" s="47"/>
      <c r="M135" s="47"/>
      <c r="N135" s="82"/>
      <c r="O135" s="82"/>
      <c r="P135" s="82"/>
      <c r="Q135" s="47"/>
      <c r="R135" s="47"/>
      <c r="S135" s="47"/>
      <c r="T135" s="47"/>
      <c r="U135" s="47"/>
      <c r="V135" s="47"/>
      <c r="W135" s="47"/>
      <c r="X135" s="47"/>
      <c r="Y135" s="47"/>
      <c r="Z135" s="14"/>
    </row>
    <row r="136" spans="1:26" x14ac:dyDescent="0.25">
      <c r="A136" s="76">
        <v>129</v>
      </c>
      <c r="B136" s="76"/>
      <c r="C136" s="76"/>
      <c r="D136" s="76"/>
      <c r="E136" s="14"/>
      <c r="F136" s="1" t="str">
        <f>Assembler!M131</f>
        <v/>
      </c>
      <c r="G136" s="9">
        <f t="shared" ref="G136:G199" si="12">E136</f>
        <v>0</v>
      </c>
      <c r="H136" s="9" t="str">
        <f t="shared" ref="H136:H199" si="13">BIN2HEX(F136)</f>
        <v>0</v>
      </c>
      <c r="I136" s="9" t="str">
        <f t="shared" ref="I136:I199" si="14">BIN2HEX(G136)</f>
        <v>0</v>
      </c>
      <c r="J136" s="6">
        <f t="shared" ref="J136:J199" si="15">BIN2DEC(F136)</f>
        <v>0</v>
      </c>
      <c r="K136" s="6">
        <f t="shared" ref="K136:K199" si="16">BIN2DEC(G136)</f>
        <v>0</v>
      </c>
      <c r="L136" s="47"/>
      <c r="M136" s="47"/>
      <c r="N136" s="82"/>
      <c r="O136" s="82"/>
      <c r="P136" s="82"/>
      <c r="Q136" s="47"/>
      <c r="R136" s="47"/>
      <c r="S136" s="47"/>
      <c r="T136" s="47"/>
      <c r="U136" s="47"/>
      <c r="V136" s="47"/>
      <c r="W136" s="47"/>
      <c r="X136" s="47"/>
      <c r="Y136" s="47"/>
      <c r="Z136" s="14"/>
    </row>
    <row r="137" spans="1:26" x14ac:dyDescent="0.25">
      <c r="A137" s="76">
        <v>130</v>
      </c>
      <c r="B137" s="76"/>
      <c r="C137" s="76"/>
      <c r="D137" s="76"/>
      <c r="E137" s="14"/>
      <c r="F137" s="1" t="str">
        <f>Assembler!M132</f>
        <v/>
      </c>
      <c r="G137" s="9">
        <f t="shared" si="12"/>
        <v>0</v>
      </c>
      <c r="H137" s="9" t="str">
        <f t="shared" si="13"/>
        <v>0</v>
      </c>
      <c r="I137" s="9" t="str">
        <f t="shared" si="14"/>
        <v>0</v>
      </c>
      <c r="J137" s="6">
        <f t="shared" si="15"/>
        <v>0</v>
      </c>
      <c r="K137" s="6">
        <f t="shared" si="16"/>
        <v>0</v>
      </c>
      <c r="L137" s="47"/>
      <c r="M137" s="47"/>
      <c r="N137" s="82"/>
      <c r="O137" s="82"/>
      <c r="P137" s="82"/>
      <c r="Q137" s="47"/>
      <c r="R137" s="47"/>
      <c r="S137" s="47"/>
      <c r="T137" s="47"/>
      <c r="U137" s="47"/>
      <c r="V137" s="47"/>
      <c r="W137" s="47"/>
      <c r="X137" s="47"/>
      <c r="Y137" s="47"/>
      <c r="Z137" s="14"/>
    </row>
    <row r="138" spans="1:26" x14ac:dyDescent="0.25">
      <c r="A138" s="76">
        <v>131</v>
      </c>
      <c r="B138" s="76"/>
      <c r="C138" s="76"/>
      <c r="D138" s="76"/>
      <c r="E138" s="14"/>
      <c r="F138" s="1" t="str">
        <f>Assembler!M133</f>
        <v/>
      </c>
      <c r="G138" s="9">
        <f t="shared" si="12"/>
        <v>0</v>
      </c>
      <c r="H138" s="9" t="str">
        <f t="shared" si="13"/>
        <v>0</v>
      </c>
      <c r="I138" s="9" t="str">
        <f t="shared" si="14"/>
        <v>0</v>
      </c>
      <c r="J138" s="6">
        <f t="shared" si="15"/>
        <v>0</v>
      </c>
      <c r="K138" s="6">
        <f t="shared" si="16"/>
        <v>0</v>
      </c>
      <c r="L138" s="47"/>
      <c r="M138" s="47"/>
      <c r="N138" s="82"/>
      <c r="O138" s="82"/>
      <c r="P138" s="82"/>
      <c r="Q138" s="47"/>
      <c r="R138" s="47"/>
      <c r="S138" s="47"/>
      <c r="T138" s="47"/>
      <c r="U138" s="47"/>
      <c r="V138" s="47"/>
      <c r="W138" s="47"/>
      <c r="X138" s="47"/>
      <c r="Y138" s="47"/>
      <c r="Z138" s="14"/>
    </row>
    <row r="139" spans="1:26" x14ac:dyDescent="0.25">
      <c r="A139" s="76">
        <v>132</v>
      </c>
      <c r="B139" s="76"/>
      <c r="C139" s="76"/>
      <c r="D139" s="76"/>
      <c r="E139" s="14"/>
      <c r="F139" s="1" t="str">
        <f>Assembler!M134</f>
        <v/>
      </c>
      <c r="G139" s="9">
        <f t="shared" si="12"/>
        <v>0</v>
      </c>
      <c r="H139" s="9" t="str">
        <f t="shared" si="13"/>
        <v>0</v>
      </c>
      <c r="I139" s="9" t="str">
        <f t="shared" si="14"/>
        <v>0</v>
      </c>
      <c r="J139" s="6">
        <f t="shared" si="15"/>
        <v>0</v>
      </c>
      <c r="K139" s="6">
        <f t="shared" si="16"/>
        <v>0</v>
      </c>
      <c r="L139" s="47"/>
      <c r="M139" s="47"/>
      <c r="N139" s="82"/>
      <c r="O139" s="82"/>
      <c r="P139" s="82"/>
      <c r="Q139" s="47"/>
      <c r="R139" s="47"/>
      <c r="S139" s="47"/>
      <c r="T139" s="47"/>
      <c r="U139" s="47"/>
      <c r="V139" s="47"/>
      <c r="W139" s="47"/>
      <c r="X139" s="47"/>
      <c r="Y139" s="47"/>
      <c r="Z139" s="14"/>
    </row>
    <row r="140" spans="1:26" x14ac:dyDescent="0.25">
      <c r="A140" s="76">
        <v>133</v>
      </c>
      <c r="B140" s="76"/>
      <c r="C140" s="76"/>
      <c r="D140" s="76"/>
      <c r="E140" s="14"/>
      <c r="F140" s="1" t="str">
        <f>Assembler!M135</f>
        <v/>
      </c>
      <c r="G140" s="9">
        <f t="shared" si="12"/>
        <v>0</v>
      </c>
      <c r="H140" s="9" t="str">
        <f t="shared" si="13"/>
        <v>0</v>
      </c>
      <c r="I140" s="9" t="str">
        <f t="shared" si="14"/>
        <v>0</v>
      </c>
      <c r="J140" s="6">
        <f t="shared" si="15"/>
        <v>0</v>
      </c>
      <c r="K140" s="6">
        <f t="shared" si="16"/>
        <v>0</v>
      </c>
      <c r="L140" s="47"/>
      <c r="M140" s="47"/>
      <c r="N140" s="82"/>
      <c r="O140" s="82"/>
      <c r="P140" s="82"/>
      <c r="Q140" s="47"/>
      <c r="R140" s="47"/>
      <c r="S140" s="47"/>
      <c r="T140" s="47"/>
      <c r="U140" s="47"/>
      <c r="V140" s="47"/>
      <c r="W140" s="47"/>
      <c r="X140" s="47"/>
      <c r="Y140" s="47"/>
      <c r="Z140" s="14"/>
    </row>
    <row r="141" spans="1:26" x14ac:dyDescent="0.25">
      <c r="A141" s="76">
        <v>134</v>
      </c>
      <c r="B141" s="76"/>
      <c r="C141" s="76"/>
      <c r="D141" s="76"/>
      <c r="E141" s="14"/>
      <c r="F141" s="1" t="str">
        <f>Assembler!M136</f>
        <v/>
      </c>
      <c r="G141" s="9">
        <f t="shared" si="12"/>
        <v>0</v>
      </c>
      <c r="H141" s="9" t="str">
        <f t="shared" si="13"/>
        <v>0</v>
      </c>
      <c r="I141" s="9" t="str">
        <f t="shared" si="14"/>
        <v>0</v>
      </c>
      <c r="J141" s="6">
        <f t="shared" si="15"/>
        <v>0</v>
      </c>
      <c r="K141" s="6">
        <f t="shared" si="16"/>
        <v>0</v>
      </c>
      <c r="L141" s="47"/>
      <c r="M141" s="47"/>
      <c r="N141" s="82"/>
      <c r="O141" s="82"/>
      <c r="P141" s="82"/>
      <c r="Q141" s="47"/>
      <c r="R141" s="47"/>
      <c r="S141" s="47"/>
      <c r="T141" s="47"/>
      <c r="U141" s="47"/>
      <c r="V141" s="47"/>
      <c r="W141" s="47"/>
      <c r="X141" s="47"/>
      <c r="Y141" s="47"/>
      <c r="Z141" s="14"/>
    </row>
    <row r="142" spans="1:26" x14ac:dyDescent="0.25">
      <c r="A142" s="76">
        <v>135</v>
      </c>
      <c r="B142" s="76"/>
      <c r="C142" s="76"/>
      <c r="D142" s="76"/>
      <c r="E142" s="14"/>
      <c r="F142" s="1" t="str">
        <f>Assembler!M137</f>
        <v/>
      </c>
      <c r="G142" s="9">
        <f t="shared" si="12"/>
        <v>0</v>
      </c>
      <c r="H142" s="9" t="str">
        <f t="shared" si="13"/>
        <v>0</v>
      </c>
      <c r="I142" s="9" t="str">
        <f t="shared" si="14"/>
        <v>0</v>
      </c>
      <c r="J142" s="6">
        <f t="shared" si="15"/>
        <v>0</v>
      </c>
      <c r="K142" s="6">
        <f t="shared" si="16"/>
        <v>0</v>
      </c>
      <c r="L142" s="47"/>
      <c r="M142" s="47"/>
      <c r="N142" s="82"/>
      <c r="O142" s="82"/>
      <c r="P142" s="82"/>
      <c r="Q142" s="47"/>
      <c r="R142" s="47"/>
      <c r="S142" s="47"/>
      <c r="T142" s="47"/>
      <c r="U142" s="47"/>
      <c r="V142" s="47"/>
      <c r="W142" s="47"/>
      <c r="X142" s="47"/>
      <c r="Y142" s="47"/>
      <c r="Z142" s="14"/>
    </row>
    <row r="143" spans="1:26" x14ac:dyDescent="0.25">
      <c r="A143" s="76">
        <v>136</v>
      </c>
      <c r="B143" s="76"/>
      <c r="C143" s="76"/>
      <c r="D143" s="76"/>
      <c r="E143" s="14"/>
      <c r="F143" s="1" t="str">
        <f>Assembler!M138</f>
        <v/>
      </c>
      <c r="G143" s="9">
        <f t="shared" si="12"/>
        <v>0</v>
      </c>
      <c r="H143" s="9" t="str">
        <f t="shared" si="13"/>
        <v>0</v>
      </c>
      <c r="I143" s="9" t="str">
        <f t="shared" si="14"/>
        <v>0</v>
      </c>
      <c r="J143" s="6">
        <f t="shared" si="15"/>
        <v>0</v>
      </c>
      <c r="K143" s="6">
        <f t="shared" si="16"/>
        <v>0</v>
      </c>
      <c r="L143" s="47"/>
      <c r="M143" s="47"/>
      <c r="N143" s="82"/>
      <c r="O143" s="82"/>
      <c r="P143" s="82"/>
      <c r="Q143" s="47"/>
      <c r="R143" s="47"/>
      <c r="S143" s="47"/>
      <c r="T143" s="47"/>
      <c r="U143" s="47"/>
      <c r="V143" s="47"/>
      <c r="W143" s="47"/>
      <c r="X143" s="47"/>
      <c r="Y143" s="47"/>
      <c r="Z143" s="14"/>
    </row>
    <row r="144" spans="1:26" x14ac:dyDescent="0.25">
      <c r="A144" s="76">
        <v>137</v>
      </c>
      <c r="B144" s="76"/>
      <c r="C144" s="76"/>
      <c r="D144" s="76"/>
      <c r="E144" s="14"/>
      <c r="F144" s="1" t="str">
        <f>Assembler!M139</f>
        <v/>
      </c>
      <c r="G144" s="9">
        <f t="shared" si="12"/>
        <v>0</v>
      </c>
      <c r="H144" s="9" t="str">
        <f t="shared" si="13"/>
        <v>0</v>
      </c>
      <c r="I144" s="9" t="str">
        <f t="shared" si="14"/>
        <v>0</v>
      </c>
      <c r="J144" s="6">
        <f t="shared" si="15"/>
        <v>0</v>
      </c>
      <c r="K144" s="6">
        <f t="shared" si="16"/>
        <v>0</v>
      </c>
      <c r="L144" s="47"/>
      <c r="M144" s="47"/>
      <c r="N144" s="82"/>
      <c r="O144" s="82"/>
      <c r="P144" s="82"/>
      <c r="Q144" s="47"/>
      <c r="R144" s="47"/>
      <c r="S144" s="47"/>
      <c r="T144" s="47"/>
      <c r="U144" s="47"/>
      <c r="V144" s="47"/>
      <c r="W144" s="47"/>
      <c r="X144" s="47"/>
      <c r="Y144" s="47"/>
      <c r="Z144" s="14"/>
    </row>
    <row r="145" spans="1:26" x14ac:dyDescent="0.25">
      <c r="A145" s="76">
        <v>138</v>
      </c>
      <c r="B145" s="76"/>
      <c r="C145" s="76"/>
      <c r="D145" s="76"/>
      <c r="E145" s="14"/>
      <c r="F145" s="1" t="str">
        <f>Assembler!M140</f>
        <v/>
      </c>
      <c r="G145" s="9">
        <f t="shared" si="12"/>
        <v>0</v>
      </c>
      <c r="H145" s="9" t="str">
        <f t="shared" si="13"/>
        <v>0</v>
      </c>
      <c r="I145" s="9" t="str">
        <f t="shared" si="14"/>
        <v>0</v>
      </c>
      <c r="J145" s="6">
        <f t="shared" si="15"/>
        <v>0</v>
      </c>
      <c r="K145" s="6">
        <f t="shared" si="16"/>
        <v>0</v>
      </c>
      <c r="L145" s="47"/>
      <c r="M145" s="47"/>
      <c r="N145" s="82"/>
      <c r="O145" s="82"/>
      <c r="P145" s="82"/>
      <c r="Q145" s="47"/>
      <c r="R145" s="47"/>
      <c r="S145" s="47"/>
      <c r="T145" s="47"/>
      <c r="U145" s="47"/>
      <c r="V145" s="47"/>
      <c r="W145" s="47"/>
      <c r="X145" s="47"/>
      <c r="Y145" s="47"/>
      <c r="Z145" s="14"/>
    </row>
    <row r="146" spans="1:26" x14ac:dyDescent="0.25">
      <c r="A146" s="76">
        <v>139</v>
      </c>
      <c r="B146" s="76"/>
      <c r="C146" s="76"/>
      <c r="D146" s="76"/>
      <c r="E146" s="14"/>
      <c r="F146" s="1" t="str">
        <f>Assembler!M141</f>
        <v/>
      </c>
      <c r="G146" s="9">
        <f t="shared" si="12"/>
        <v>0</v>
      </c>
      <c r="H146" s="9" t="str">
        <f t="shared" si="13"/>
        <v>0</v>
      </c>
      <c r="I146" s="9" t="str">
        <f t="shared" si="14"/>
        <v>0</v>
      </c>
      <c r="J146" s="6">
        <f t="shared" si="15"/>
        <v>0</v>
      </c>
      <c r="K146" s="6">
        <f t="shared" si="16"/>
        <v>0</v>
      </c>
      <c r="L146" s="47"/>
      <c r="M146" s="47"/>
      <c r="N146" s="82"/>
      <c r="O146" s="82"/>
      <c r="P146" s="82"/>
      <c r="Q146" s="47"/>
      <c r="R146" s="47"/>
      <c r="S146" s="47"/>
      <c r="T146" s="47"/>
      <c r="U146" s="47"/>
      <c r="V146" s="47"/>
      <c r="W146" s="47"/>
      <c r="X146" s="47"/>
      <c r="Y146" s="47"/>
      <c r="Z146" s="14"/>
    </row>
    <row r="147" spans="1:26" x14ac:dyDescent="0.25">
      <c r="A147" s="76">
        <v>140</v>
      </c>
      <c r="B147" s="76"/>
      <c r="C147" s="76"/>
      <c r="D147" s="76"/>
      <c r="E147" s="14"/>
      <c r="F147" s="1" t="str">
        <f>Assembler!M142</f>
        <v/>
      </c>
      <c r="G147" s="9">
        <f t="shared" si="12"/>
        <v>0</v>
      </c>
      <c r="H147" s="9" t="str">
        <f t="shared" si="13"/>
        <v>0</v>
      </c>
      <c r="I147" s="9" t="str">
        <f t="shared" si="14"/>
        <v>0</v>
      </c>
      <c r="J147" s="6">
        <f t="shared" si="15"/>
        <v>0</v>
      </c>
      <c r="K147" s="6">
        <f t="shared" si="16"/>
        <v>0</v>
      </c>
      <c r="L147" s="47"/>
      <c r="M147" s="47"/>
      <c r="N147" s="82"/>
      <c r="O147" s="82"/>
      <c r="P147" s="82"/>
      <c r="Q147" s="47"/>
      <c r="R147" s="47"/>
      <c r="S147" s="47"/>
      <c r="T147" s="47"/>
      <c r="U147" s="47"/>
      <c r="V147" s="47"/>
      <c r="W147" s="47"/>
      <c r="X147" s="47"/>
      <c r="Y147" s="47"/>
      <c r="Z147" s="14"/>
    </row>
    <row r="148" spans="1:26" x14ac:dyDescent="0.25">
      <c r="A148" s="76">
        <v>141</v>
      </c>
      <c r="B148" s="76"/>
      <c r="C148" s="76"/>
      <c r="D148" s="76"/>
      <c r="E148" s="14"/>
      <c r="F148" s="1" t="str">
        <f>Assembler!M143</f>
        <v/>
      </c>
      <c r="G148" s="9">
        <f t="shared" si="12"/>
        <v>0</v>
      </c>
      <c r="H148" s="9" t="str">
        <f t="shared" si="13"/>
        <v>0</v>
      </c>
      <c r="I148" s="9" t="str">
        <f t="shared" si="14"/>
        <v>0</v>
      </c>
      <c r="J148" s="6">
        <f t="shared" si="15"/>
        <v>0</v>
      </c>
      <c r="K148" s="6">
        <f t="shared" si="16"/>
        <v>0</v>
      </c>
      <c r="L148" s="47"/>
      <c r="M148" s="47"/>
      <c r="N148" s="82"/>
      <c r="O148" s="82"/>
      <c r="P148" s="82"/>
      <c r="Q148" s="47"/>
      <c r="R148" s="47"/>
      <c r="S148" s="47"/>
      <c r="T148" s="47"/>
      <c r="U148" s="47"/>
      <c r="V148" s="47"/>
      <c r="W148" s="47"/>
      <c r="X148" s="47"/>
      <c r="Y148" s="47"/>
      <c r="Z148" s="14"/>
    </row>
    <row r="149" spans="1:26" x14ac:dyDescent="0.25">
      <c r="A149" s="76">
        <v>142</v>
      </c>
      <c r="B149" s="76"/>
      <c r="C149" s="76"/>
      <c r="D149" s="76"/>
      <c r="E149" s="14"/>
      <c r="F149" s="1" t="str">
        <f>Assembler!M144</f>
        <v/>
      </c>
      <c r="G149" s="9">
        <f t="shared" si="12"/>
        <v>0</v>
      </c>
      <c r="H149" s="9" t="str">
        <f t="shared" si="13"/>
        <v>0</v>
      </c>
      <c r="I149" s="9" t="str">
        <f t="shared" si="14"/>
        <v>0</v>
      </c>
      <c r="J149" s="6">
        <f t="shared" si="15"/>
        <v>0</v>
      </c>
      <c r="K149" s="6">
        <f t="shared" si="16"/>
        <v>0</v>
      </c>
      <c r="L149" s="47"/>
      <c r="M149" s="47"/>
      <c r="N149" s="82"/>
      <c r="O149" s="82"/>
      <c r="P149" s="82"/>
      <c r="Q149" s="47"/>
      <c r="R149" s="47"/>
      <c r="S149" s="47"/>
      <c r="T149" s="47"/>
      <c r="U149" s="47"/>
      <c r="V149" s="47"/>
      <c r="W149" s="47"/>
      <c r="X149" s="47"/>
      <c r="Y149" s="47"/>
      <c r="Z149" s="14"/>
    </row>
    <row r="150" spans="1:26" x14ac:dyDescent="0.25">
      <c r="A150" s="76">
        <v>143</v>
      </c>
      <c r="B150" s="76"/>
      <c r="C150" s="76"/>
      <c r="D150" s="76"/>
      <c r="E150" s="14"/>
      <c r="F150" s="1" t="str">
        <f>Assembler!M145</f>
        <v/>
      </c>
      <c r="G150" s="9">
        <f t="shared" si="12"/>
        <v>0</v>
      </c>
      <c r="H150" s="9" t="str">
        <f t="shared" si="13"/>
        <v>0</v>
      </c>
      <c r="I150" s="9" t="str">
        <f t="shared" si="14"/>
        <v>0</v>
      </c>
      <c r="J150" s="6">
        <f t="shared" si="15"/>
        <v>0</v>
      </c>
      <c r="K150" s="6">
        <f t="shared" si="16"/>
        <v>0</v>
      </c>
      <c r="L150" s="47"/>
      <c r="M150" s="47"/>
      <c r="N150" s="82"/>
      <c r="O150" s="82"/>
      <c r="P150" s="82"/>
      <c r="Q150" s="47"/>
      <c r="R150" s="47"/>
      <c r="S150" s="47"/>
      <c r="T150" s="47"/>
      <c r="U150" s="47"/>
      <c r="V150" s="47"/>
      <c r="W150" s="47"/>
      <c r="X150" s="47"/>
      <c r="Y150" s="47"/>
      <c r="Z150" s="14"/>
    </row>
    <row r="151" spans="1:26" x14ac:dyDescent="0.25">
      <c r="A151" s="76">
        <v>144</v>
      </c>
      <c r="B151" s="76"/>
      <c r="C151" s="76"/>
      <c r="D151" s="76"/>
      <c r="E151" s="14"/>
      <c r="F151" s="1" t="str">
        <f>Assembler!M146</f>
        <v/>
      </c>
      <c r="G151" s="9">
        <f t="shared" si="12"/>
        <v>0</v>
      </c>
      <c r="H151" s="9" t="str">
        <f t="shared" si="13"/>
        <v>0</v>
      </c>
      <c r="I151" s="9" t="str">
        <f t="shared" si="14"/>
        <v>0</v>
      </c>
      <c r="J151" s="6">
        <f t="shared" si="15"/>
        <v>0</v>
      </c>
      <c r="K151" s="6">
        <f t="shared" si="16"/>
        <v>0</v>
      </c>
      <c r="L151" s="47"/>
      <c r="M151" s="47"/>
      <c r="N151" s="82"/>
      <c r="O151" s="82"/>
      <c r="P151" s="82"/>
      <c r="Q151" s="47"/>
      <c r="R151" s="47"/>
      <c r="S151" s="47"/>
      <c r="T151" s="47"/>
      <c r="U151" s="47"/>
      <c r="V151" s="47"/>
      <c r="W151" s="47"/>
      <c r="X151" s="47"/>
      <c r="Y151" s="47"/>
      <c r="Z151" s="14"/>
    </row>
    <row r="152" spans="1:26" x14ac:dyDescent="0.25">
      <c r="A152" s="76">
        <v>145</v>
      </c>
      <c r="B152" s="76"/>
      <c r="C152" s="76"/>
      <c r="D152" s="76"/>
      <c r="E152" s="14"/>
      <c r="F152" s="1" t="str">
        <f>Assembler!M147</f>
        <v/>
      </c>
      <c r="G152" s="9">
        <f t="shared" si="12"/>
        <v>0</v>
      </c>
      <c r="H152" s="9" t="str">
        <f t="shared" si="13"/>
        <v>0</v>
      </c>
      <c r="I152" s="9" t="str">
        <f t="shared" si="14"/>
        <v>0</v>
      </c>
      <c r="J152" s="6">
        <f t="shared" si="15"/>
        <v>0</v>
      </c>
      <c r="K152" s="6">
        <f t="shared" si="16"/>
        <v>0</v>
      </c>
      <c r="L152" s="47"/>
      <c r="M152" s="47"/>
      <c r="N152" s="82"/>
      <c r="O152" s="82"/>
      <c r="P152" s="82"/>
      <c r="Q152" s="47"/>
      <c r="R152" s="47"/>
      <c r="S152" s="47"/>
      <c r="T152" s="47"/>
      <c r="U152" s="47"/>
      <c r="V152" s="47"/>
      <c r="W152" s="47"/>
      <c r="X152" s="47"/>
      <c r="Y152" s="47"/>
      <c r="Z152" s="14"/>
    </row>
    <row r="153" spans="1:26" x14ac:dyDescent="0.25">
      <c r="A153" s="76">
        <v>146</v>
      </c>
      <c r="B153" s="76"/>
      <c r="C153" s="76"/>
      <c r="D153" s="76"/>
      <c r="E153" s="14"/>
      <c r="F153" s="1" t="str">
        <f>Assembler!M148</f>
        <v/>
      </c>
      <c r="G153" s="9">
        <f t="shared" si="12"/>
        <v>0</v>
      </c>
      <c r="H153" s="9" t="str">
        <f t="shared" si="13"/>
        <v>0</v>
      </c>
      <c r="I153" s="9" t="str">
        <f t="shared" si="14"/>
        <v>0</v>
      </c>
      <c r="J153" s="6">
        <f t="shared" si="15"/>
        <v>0</v>
      </c>
      <c r="K153" s="6">
        <f t="shared" si="16"/>
        <v>0</v>
      </c>
      <c r="L153" s="47"/>
      <c r="M153" s="47"/>
      <c r="N153" s="82"/>
      <c r="O153" s="82"/>
      <c r="P153" s="82"/>
      <c r="Q153" s="47"/>
      <c r="R153" s="47"/>
      <c r="S153" s="47"/>
      <c r="T153" s="47"/>
      <c r="U153" s="47"/>
      <c r="V153" s="47"/>
      <c r="W153" s="47"/>
      <c r="X153" s="47"/>
      <c r="Y153" s="47"/>
      <c r="Z153" s="14"/>
    </row>
    <row r="154" spans="1:26" x14ac:dyDescent="0.25">
      <c r="A154" s="76">
        <v>147</v>
      </c>
      <c r="B154" s="76"/>
      <c r="C154" s="76"/>
      <c r="D154" s="76"/>
      <c r="E154" s="14"/>
      <c r="F154" s="1" t="str">
        <f>Assembler!M149</f>
        <v/>
      </c>
      <c r="G154" s="9">
        <f t="shared" si="12"/>
        <v>0</v>
      </c>
      <c r="H154" s="9" t="str">
        <f t="shared" si="13"/>
        <v>0</v>
      </c>
      <c r="I154" s="9" t="str">
        <f t="shared" si="14"/>
        <v>0</v>
      </c>
      <c r="J154" s="6">
        <f t="shared" si="15"/>
        <v>0</v>
      </c>
      <c r="K154" s="6">
        <f t="shared" si="16"/>
        <v>0</v>
      </c>
      <c r="L154" s="47"/>
      <c r="M154" s="47"/>
      <c r="N154" s="82"/>
      <c r="O154" s="82"/>
      <c r="P154" s="82"/>
      <c r="Q154" s="47"/>
      <c r="R154" s="47"/>
      <c r="S154" s="47"/>
      <c r="T154" s="47"/>
      <c r="U154" s="47"/>
      <c r="V154" s="47"/>
      <c r="W154" s="47"/>
      <c r="X154" s="47"/>
      <c r="Y154" s="47"/>
      <c r="Z154" s="14"/>
    </row>
    <row r="155" spans="1:26" x14ac:dyDescent="0.25">
      <c r="A155" s="76">
        <v>148</v>
      </c>
      <c r="B155" s="76"/>
      <c r="C155" s="76"/>
      <c r="D155" s="76"/>
      <c r="E155" s="14"/>
      <c r="F155" s="1" t="str">
        <f>Assembler!M150</f>
        <v/>
      </c>
      <c r="G155" s="9">
        <f t="shared" si="12"/>
        <v>0</v>
      </c>
      <c r="H155" s="9" t="str">
        <f t="shared" si="13"/>
        <v>0</v>
      </c>
      <c r="I155" s="9" t="str">
        <f t="shared" si="14"/>
        <v>0</v>
      </c>
      <c r="J155" s="6">
        <f t="shared" si="15"/>
        <v>0</v>
      </c>
      <c r="K155" s="6">
        <f t="shared" si="16"/>
        <v>0</v>
      </c>
      <c r="L155" s="47"/>
      <c r="M155" s="47"/>
      <c r="N155" s="82"/>
      <c r="O155" s="82"/>
      <c r="P155" s="82"/>
      <c r="Q155" s="47"/>
      <c r="R155" s="47"/>
      <c r="S155" s="47"/>
      <c r="T155" s="47"/>
      <c r="U155" s="47"/>
      <c r="V155" s="47"/>
      <c r="W155" s="47"/>
      <c r="X155" s="47"/>
      <c r="Y155" s="47"/>
      <c r="Z155" s="14"/>
    </row>
    <row r="156" spans="1:26" x14ac:dyDescent="0.25">
      <c r="A156" s="76">
        <v>149</v>
      </c>
      <c r="B156" s="76"/>
      <c r="C156" s="76"/>
      <c r="D156" s="76"/>
      <c r="E156" s="14"/>
      <c r="F156" s="1" t="str">
        <f>Assembler!M151</f>
        <v/>
      </c>
      <c r="G156" s="9">
        <f t="shared" si="12"/>
        <v>0</v>
      </c>
      <c r="H156" s="9" t="str">
        <f t="shared" si="13"/>
        <v>0</v>
      </c>
      <c r="I156" s="9" t="str">
        <f t="shared" si="14"/>
        <v>0</v>
      </c>
      <c r="J156" s="6">
        <f t="shared" si="15"/>
        <v>0</v>
      </c>
      <c r="K156" s="6">
        <f t="shared" si="16"/>
        <v>0</v>
      </c>
      <c r="L156" s="47"/>
      <c r="M156" s="47"/>
      <c r="N156" s="82"/>
      <c r="O156" s="82"/>
      <c r="P156" s="82"/>
      <c r="Q156" s="47"/>
      <c r="R156" s="47"/>
      <c r="S156" s="47"/>
      <c r="T156" s="47"/>
      <c r="U156" s="47"/>
      <c r="V156" s="47"/>
      <c r="W156" s="47"/>
      <c r="X156" s="47"/>
      <c r="Y156" s="47"/>
      <c r="Z156" s="14"/>
    </row>
    <row r="157" spans="1:26" x14ac:dyDescent="0.25">
      <c r="A157" s="76">
        <v>150</v>
      </c>
      <c r="B157" s="76"/>
      <c r="C157" s="76"/>
      <c r="D157" s="76"/>
      <c r="E157" s="14"/>
      <c r="F157" s="1" t="str">
        <f>Assembler!M152</f>
        <v/>
      </c>
      <c r="G157" s="9">
        <f t="shared" si="12"/>
        <v>0</v>
      </c>
      <c r="H157" s="9" t="str">
        <f t="shared" si="13"/>
        <v>0</v>
      </c>
      <c r="I157" s="9" t="str">
        <f t="shared" si="14"/>
        <v>0</v>
      </c>
      <c r="J157" s="6">
        <f t="shared" si="15"/>
        <v>0</v>
      </c>
      <c r="K157" s="6">
        <f t="shared" si="16"/>
        <v>0</v>
      </c>
      <c r="L157" s="47"/>
      <c r="M157" s="47"/>
      <c r="N157" s="82"/>
      <c r="O157" s="82"/>
      <c r="P157" s="82"/>
      <c r="Q157" s="47"/>
      <c r="R157" s="47"/>
      <c r="S157" s="47"/>
      <c r="T157" s="47"/>
      <c r="U157" s="47"/>
      <c r="V157" s="47"/>
      <c r="W157" s="47"/>
      <c r="X157" s="47"/>
      <c r="Y157" s="47"/>
      <c r="Z157" s="14"/>
    </row>
    <row r="158" spans="1:26" x14ac:dyDescent="0.25">
      <c r="A158" s="76">
        <v>151</v>
      </c>
      <c r="B158" s="76"/>
      <c r="C158" s="76"/>
      <c r="D158" s="76"/>
      <c r="E158" s="14"/>
      <c r="F158" s="1" t="str">
        <f>Assembler!M153</f>
        <v/>
      </c>
      <c r="G158" s="9">
        <f t="shared" si="12"/>
        <v>0</v>
      </c>
      <c r="H158" s="9" t="str">
        <f t="shared" si="13"/>
        <v>0</v>
      </c>
      <c r="I158" s="9" t="str">
        <f t="shared" si="14"/>
        <v>0</v>
      </c>
      <c r="J158" s="6">
        <f t="shared" si="15"/>
        <v>0</v>
      </c>
      <c r="K158" s="6">
        <f t="shared" si="16"/>
        <v>0</v>
      </c>
      <c r="L158" s="47"/>
      <c r="M158" s="47"/>
      <c r="N158" s="82"/>
      <c r="O158" s="82"/>
      <c r="P158" s="82"/>
      <c r="Q158" s="47"/>
      <c r="R158" s="47"/>
      <c r="S158" s="47"/>
      <c r="T158" s="47"/>
      <c r="U158" s="47"/>
      <c r="V158" s="47"/>
      <c r="W158" s="47"/>
      <c r="X158" s="47"/>
      <c r="Y158" s="47"/>
      <c r="Z158" s="14"/>
    </row>
    <row r="159" spans="1:26" x14ac:dyDescent="0.25">
      <c r="A159" s="76">
        <v>152</v>
      </c>
      <c r="B159" s="76"/>
      <c r="C159" s="76"/>
      <c r="D159" s="76"/>
      <c r="E159" s="14"/>
      <c r="F159" s="1" t="str">
        <f>Assembler!M154</f>
        <v/>
      </c>
      <c r="G159" s="9">
        <f t="shared" si="12"/>
        <v>0</v>
      </c>
      <c r="H159" s="9" t="str">
        <f t="shared" si="13"/>
        <v>0</v>
      </c>
      <c r="I159" s="9" t="str">
        <f t="shared" si="14"/>
        <v>0</v>
      </c>
      <c r="J159" s="6">
        <f t="shared" si="15"/>
        <v>0</v>
      </c>
      <c r="K159" s="6">
        <f t="shared" si="16"/>
        <v>0</v>
      </c>
      <c r="L159" s="47"/>
      <c r="M159" s="47"/>
      <c r="N159" s="82"/>
      <c r="O159" s="82"/>
      <c r="P159" s="82"/>
      <c r="Q159" s="47"/>
      <c r="R159" s="47"/>
      <c r="S159" s="47"/>
      <c r="T159" s="47"/>
      <c r="U159" s="47"/>
      <c r="V159" s="47"/>
      <c r="W159" s="47"/>
      <c r="X159" s="47"/>
      <c r="Y159" s="47"/>
      <c r="Z159" s="14"/>
    </row>
    <row r="160" spans="1:26" x14ac:dyDescent="0.25">
      <c r="A160" s="76">
        <v>153</v>
      </c>
      <c r="B160" s="76"/>
      <c r="C160" s="76"/>
      <c r="D160" s="76"/>
      <c r="E160" s="14"/>
      <c r="F160" s="1" t="str">
        <f>Assembler!M155</f>
        <v/>
      </c>
      <c r="G160" s="9">
        <f t="shared" si="12"/>
        <v>0</v>
      </c>
      <c r="H160" s="9" t="str">
        <f t="shared" si="13"/>
        <v>0</v>
      </c>
      <c r="I160" s="9" t="str">
        <f t="shared" si="14"/>
        <v>0</v>
      </c>
      <c r="J160" s="6">
        <f t="shared" si="15"/>
        <v>0</v>
      </c>
      <c r="K160" s="6">
        <f t="shared" si="16"/>
        <v>0</v>
      </c>
      <c r="L160" s="47"/>
      <c r="M160" s="47"/>
      <c r="N160" s="82"/>
      <c r="O160" s="82"/>
      <c r="P160" s="82"/>
      <c r="Q160" s="47"/>
      <c r="R160" s="47"/>
      <c r="S160" s="47"/>
      <c r="T160" s="47"/>
      <c r="U160" s="47"/>
      <c r="V160" s="47"/>
      <c r="W160" s="47"/>
      <c r="X160" s="47"/>
      <c r="Y160" s="47"/>
      <c r="Z160" s="14"/>
    </row>
    <row r="161" spans="1:26" x14ac:dyDescent="0.25">
      <c r="A161" s="76">
        <v>154</v>
      </c>
      <c r="B161" s="76"/>
      <c r="C161" s="76"/>
      <c r="D161" s="76"/>
      <c r="E161" s="14"/>
      <c r="F161" s="1" t="str">
        <f>Assembler!M156</f>
        <v/>
      </c>
      <c r="G161" s="9">
        <f t="shared" si="12"/>
        <v>0</v>
      </c>
      <c r="H161" s="9" t="str">
        <f t="shared" si="13"/>
        <v>0</v>
      </c>
      <c r="I161" s="9" t="str">
        <f t="shared" si="14"/>
        <v>0</v>
      </c>
      <c r="J161" s="6">
        <f t="shared" si="15"/>
        <v>0</v>
      </c>
      <c r="K161" s="6">
        <f t="shared" si="16"/>
        <v>0</v>
      </c>
      <c r="L161" s="47"/>
      <c r="M161" s="47"/>
      <c r="N161" s="82"/>
      <c r="O161" s="82"/>
      <c r="P161" s="82"/>
      <c r="Q161" s="47"/>
      <c r="R161" s="47"/>
      <c r="S161" s="47"/>
      <c r="T161" s="47"/>
      <c r="U161" s="47"/>
      <c r="V161" s="47"/>
      <c r="W161" s="47"/>
      <c r="X161" s="47"/>
      <c r="Y161" s="47"/>
      <c r="Z161" s="14"/>
    </row>
    <row r="162" spans="1:26" x14ac:dyDescent="0.25">
      <c r="A162" s="76">
        <v>155</v>
      </c>
      <c r="B162" s="76"/>
      <c r="C162" s="76"/>
      <c r="D162" s="76"/>
      <c r="E162" s="14"/>
      <c r="F162" s="1" t="str">
        <f>Assembler!M157</f>
        <v/>
      </c>
      <c r="G162" s="9">
        <f t="shared" si="12"/>
        <v>0</v>
      </c>
      <c r="H162" s="9" t="str">
        <f t="shared" si="13"/>
        <v>0</v>
      </c>
      <c r="I162" s="9" t="str">
        <f t="shared" si="14"/>
        <v>0</v>
      </c>
      <c r="J162" s="6">
        <f t="shared" si="15"/>
        <v>0</v>
      </c>
      <c r="K162" s="6">
        <f t="shared" si="16"/>
        <v>0</v>
      </c>
      <c r="L162" s="47"/>
      <c r="M162" s="47"/>
      <c r="N162" s="82"/>
      <c r="O162" s="82"/>
      <c r="P162" s="82"/>
      <c r="Q162" s="47"/>
      <c r="R162" s="47"/>
      <c r="S162" s="47"/>
      <c r="T162" s="47"/>
      <c r="U162" s="47"/>
      <c r="V162" s="47"/>
      <c r="W162" s="47"/>
      <c r="X162" s="47"/>
      <c r="Y162" s="47"/>
      <c r="Z162" s="14"/>
    </row>
    <row r="163" spans="1:26" x14ac:dyDescent="0.25">
      <c r="A163" s="76">
        <v>156</v>
      </c>
      <c r="B163" s="76"/>
      <c r="C163" s="76"/>
      <c r="D163" s="76"/>
      <c r="E163" s="14"/>
      <c r="F163" s="1" t="str">
        <f>Assembler!M158</f>
        <v/>
      </c>
      <c r="G163" s="9">
        <f t="shared" si="12"/>
        <v>0</v>
      </c>
      <c r="H163" s="9" t="str">
        <f t="shared" si="13"/>
        <v>0</v>
      </c>
      <c r="I163" s="9" t="str">
        <f t="shared" si="14"/>
        <v>0</v>
      </c>
      <c r="J163" s="6">
        <f t="shared" si="15"/>
        <v>0</v>
      </c>
      <c r="K163" s="6">
        <f t="shared" si="16"/>
        <v>0</v>
      </c>
      <c r="L163" s="47"/>
      <c r="M163" s="47"/>
      <c r="N163" s="82"/>
      <c r="O163" s="82"/>
      <c r="P163" s="82"/>
      <c r="Q163" s="47"/>
      <c r="R163" s="47"/>
      <c r="S163" s="47"/>
      <c r="T163" s="47"/>
      <c r="U163" s="47"/>
      <c r="V163" s="47"/>
      <c r="W163" s="47"/>
      <c r="X163" s="47"/>
      <c r="Y163" s="47"/>
      <c r="Z163" s="14"/>
    </row>
    <row r="164" spans="1:26" x14ac:dyDescent="0.25">
      <c r="A164" s="76">
        <v>157</v>
      </c>
      <c r="B164" s="76"/>
      <c r="C164" s="76"/>
      <c r="D164" s="76"/>
      <c r="E164" s="14"/>
      <c r="F164" s="1" t="str">
        <f>Assembler!M159</f>
        <v/>
      </c>
      <c r="G164" s="9">
        <f t="shared" si="12"/>
        <v>0</v>
      </c>
      <c r="H164" s="9" t="str">
        <f t="shared" si="13"/>
        <v>0</v>
      </c>
      <c r="I164" s="9" t="str">
        <f t="shared" si="14"/>
        <v>0</v>
      </c>
      <c r="J164" s="6">
        <f t="shared" si="15"/>
        <v>0</v>
      </c>
      <c r="K164" s="6">
        <f t="shared" si="16"/>
        <v>0</v>
      </c>
      <c r="L164" s="47"/>
      <c r="M164" s="47"/>
      <c r="N164" s="82"/>
      <c r="O164" s="82"/>
      <c r="P164" s="82"/>
      <c r="Q164" s="47"/>
      <c r="R164" s="47"/>
      <c r="S164" s="47"/>
      <c r="T164" s="47"/>
      <c r="U164" s="47"/>
      <c r="V164" s="47"/>
      <c r="W164" s="47"/>
      <c r="X164" s="47"/>
      <c r="Y164" s="47"/>
      <c r="Z164" s="14"/>
    </row>
    <row r="165" spans="1:26" x14ac:dyDescent="0.25">
      <c r="A165" s="76">
        <v>158</v>
      </c>
      <c r="B165" s="76"/>
      <c r="C165" s="76"/>
      <c r="D165" s="76"/>
      <c r="E165" s="14"/>
      <c r="F165" s="1" t="str">
        <f>Assembler!M160</f>
        <v/>
      </c>
      <c r="G165" s="9">
        <f t="shared" si="12"/>
        <v>0</v>
      </c>
      <c r="H165" s="9" t="str">
        <f t="shared" si="13"/>
        <v>0</v>
      </c>
      <c r="I165" s="9" t="str">
        <f t="shared" si="14"/>
        <v>0</v>
      </c>
      <c r="J165" s="6">
        <f t="shared" si="15"/>
        <v>0</v>
      </c>
      <c r="K165" s="6">
        <f t="shared" si="16"/>
        <v>0</v>
      </c>
      <c r="L165" s="47"/>
      <c r="M165" s="47"/>
      <c r="N165" s="82"/>
      <c r="O165" s="82"/>
      <c r="P165" s="82"/>
      <c r="Q165" s="47"/>
      <c r="R165" s="47"/>
      <c r="S165" s="47"/>
      <c r="T165" s="47"/>
      <c r="U165" s="47"/>
      <c r="V165" s="47"/>
      <c r="W165" s="47"/>
      <c r="X165" s="47"/>
      <c r="Y165" s="47"/>
      <c r="Z165" s="14"/>
    </row>
    <row r="166" spans="1:26" x14ac:dyDescent="0.25">
      <c r="A166" s="76">
        <v>159</v>
      </c>
      <c r="B166" s="76"/>
      <c r="C166" s="76"/>
      <c r="D166" s="76"/>
      <c r="E166" s="14"/>
      <c r="F166" s="1" t="str">
        <f>Assembler!M161</f>
        <v/>
      </c>
      <c r="G166" s="9">
        <f t="shared" si="12"/>
        <v>0</v>
      </c>
      <c r="H166" s="9" t="str">
        <f t="shared" si="13"/>
        <v>0</v>
      </c>
      <c r="I166" s="9" t="str">
        <f t="shared" si="14"/>
        <v>0</v>
      </c>
      <c r="J166" s="6">
        <f t="shared" si="15"/>
        <v>0</v>
      </c>
      <c r="K166" s="6">
        <f t="shared" si="16"/>
        <v>0</v>
      </c>
      <c r="L166" s="47"/>
      <c r="M166" s="47"/>
      <c r="N166" s="82"/>
      <c r="O166" s="82"/>
      <c r="P166" s="82"/>
      <c r="Q166" s="47"/>
      <c r="R166" s="47"/>
      <c r="S166" s="47"/>
      <c r="T166" s="47"/>
      <c r="U166" s="47"/>
      <c r="V166" s="47"/>
      <c r="W166" s="47"/>
      <c r="X166" s="47"/>
      <c r="Y166" s="47"/>
      <c r="Z166" s="14"/>
    </row>
    <row r="167" spans="1:26" x14ac:dyDescent="0.25">
      <c r="A167" s="76">
        <v>160</v>
      </c>
      <c r="B167" s="76"/>
      <c r="C167" s="76"/>
      <c r="D167" s="76"/>
      <c r="E167" s="14"/>
      <c r="F167" s="1" t="str">
        <f>Assembler!M162</f>
        <v/>
      </c>
      <c r="G167" s="9">
        <f t="shared" si="12"/>
        <v>0</v>
      </c>
      <c r="H167" s="9" t="str">
        <f t="shared" si="13"/>
        <v>0</v>
      </c>
      <c r="I167" s="9" t="str">
        <f t="shared" si="14"/>
        <v>0</v>
      </c>
      <c r="J167" s="6">
        <f t="shared" si="15"/>
        <v>0</v>
      </c>
      <c r="K167" s="6">
        <f t="shared" si="16"/>
        <v>0</v>
      </c>
      <c r="L167" s="47"/>
      <c r="M167" s="47"/>
      <c r="N167" s="82"/>
      <c r="O167" s="82"/>
      <c r="P167" s="82"/>
      <c r="Q167" s="47"/>
      <c r="R167" s="47"/>
      <c r="S167" s="47"/>
      <c r="T167" s="47"/>
      <c r="U167" s="47"/>
      <c r="V167" s="47"/>
      <c r="W167" s="47"/>
      <c r="X167" s="47"/>
      <c r="Y167" s="47"/>
      <c r="Z167" s="14"/>
    </row>
    <row r="168" spans="1:26" x14ac:dyDescent="0.25">
      <c r="A168" s="76">
        <v>161</v>
      </c>
      <c r="B168" s="76"/>
      <c r="C168" s="76"/>
      <c r="D168" s="76"/>
      <c r="E168" s="14"/>
      <c r="F168" s="1" t="str">
        <f>Assembler!M163</f>
        <v/>
      </c>
      <c r="G168" s="9">
        <f t="shared" si="12"/>
        <v>0</v>
      </c>
      <c r="H168" s="9" t="str">
        <f t="shared" si="13"/>
        <v>0</v>
      </c>
      <c r="I168" s="9" t="str">
        <f t="shared" si="14"/>
        <v>0</v>
      </c>
      <c r="J168" s="6">
        <f t="shared" si="15"/>
        <v>0</v>
      </c>
      <c r="K168" s="6">
        <f t="shared" si="16"/>
        <v>0</v>
      </c>
      <c r="L168" s="47"/>
      <c r="M168" s="47"/>
      <c r="N168" s="82"/>
      <c r="O168" s="82"/>
      <c r="P168" s="82"/>
      <c r="Q168" s="47"/>
      <c r="R168" s="47"/>
      <c r="S168" s="47"/>
      <c r="T168" s="47"/>
      <c r="U168" s="47"/>
      <c r="V168" s="47"/>
      <c r="W168" s="47"/>
      <c r="X168" s="47"/>
      <c r="Y168" s="47"/>
      <c r="Z168" s="14"/>
    </row>
    <row r="169" spans="1:26" x14ac:dyDescent="0.25">
      <c r="A169" s="76">
        <v>162</v>
      </c>
      <c r="B169" s="76"/>
      <c r="C169" s="76"/>
      <c r="D169" s="76"/>
      <c r="E169" s="14"/>
      <c r="F169" s="1" t="str">
        <f>Assembler!M164</f>
        <v/>
      </c>
      <c r="G169" s="9">
        <f t="shared" si="12"/>
        <v>0</v>
      </c>
      <c r="H169" s="9" t="str">
        <f t="shared" si="13"/>
        <v>0</v>
      </c>
      <c r="I169" s="9" t="str">
        <f t="shared" si="14"/>
        <v>0</v>
      </c>
      <c r="J169" s="6">
        <f t="shared" si="15"/>
        <v>0</v>
      </c>
      <c r="K169" s="6">
        <f t="shared" si="16"/>
        <v>0</v>
      </c>
      <c r="L169" s="47"/>
      <c r="M169" s="47"/>
      <c r="N169" s="82"/>
      <c r="O169" s="82"/>
      <c r="P169" s="82"/>
      <c r="Q169" s="47"/>
      <c r="R169" s="47"/>
      <c r="S169" s="47"/>
      <c r="T169" s="47"/>
      <c r="U169" s="47"/>
      <c r="V169" s="47"/>
      <c r="W169" s="47"/>
      <c r="X169" s="47"/>
      <c r="Y169" s="47"/>
      <c r="Z169" s="14"/>
    </row>
    <row r="170" spans="1:26" x14ac:dyDescent="0.25">
      <c r="A170" s="76">
        <v>163</v>
      </c>
      <c r="B170" s="76"/>
      <c r="C170" s="76"/>
      <c r="D170" s="76"/>
      <c r="E170" s="14"/>
      <c r="F170" s="1" t="str">
        <f>Assembler!M165</f>
        <v/>
      </c>
      <c r="G170" s="9">
        <f t="shared" si="12"/>
        <v>0</v>
      </c>
      <c r="H170" s="9" t="str">
        <f t="shared" si="13"/>
        <v>0</v>
      </c>
      <c r="I170" s="9" t="str">
        <f t="shared" si="14"/>
        <v>0</v>
      </c>
      <c r="J170" s="6">
        <f t="shared" si="15"/>
        <v>0</v>
      </c>
      <c r="K170" s="6">
        <f t="shared" si="16"/>
        <v>0</v>
      </c>
      <c r="L170" s="47"/>
      <c r="M170" s="47"/>
      <c r="N170" s="82"/>
      <c r="O170" s="82"/>
      <c r="P170" s="82"/>
      <c r="Q170" s="47"/>
      <c r="R170" s="47"/>
      <c r="S170" s="47"/>
      <c r="T170" s="47"/>
      <c r="U170" s="47"/>
      <c r="V170" s="47"/>
      <c r="W170" s="47"/>
      <c r="X170" s="47"/>
      <c r="Y170" s="47"/>
      <c r="Z170" s="14"/>
    </row>
    <row r="171" spans="1:26" x14ac:dyDescent="0.25">
      <c r="A171" s="76">
        <v>164</v>
      </c>
      <c r="B171" s="76"/>
      <c r="C171" s="76"/>
      <c r="D171" s="76"/>
      <c r="E171" s="14"/>
      <c r="F171" s="1" t="str">
        <f>Assembler!M166</f>
        <v/>
      </c>
      <c r="G171" s="9">
        <f t="shared" si="12"/>
        <v>0</v>
      </c>
      <c r="H171" s="9" t="str">
        <f t="shared" si="13"/>
        <v>0</v>
      </c>
      <c r="I171" s="9" t="str">
        <f t="shared" si="14"/>
        <v>0</v>
      </c>
      <c r="J171" s="6">
        <f t="shared" si="15"/>
        <v>0</v>
      </c>
      <c r="K171" s="6">
        <f t="shared" si="16"/>
        <v>0</v>
      </c>
      <c r="L171" s="47"/>
      <c r="M171" s="47"/>
      <c r="N171" s="82"/>
      <c r="O171" s="82"/>
      <c r="P171" s="82"/>
      <c r="Q171" s="47"/>
      <c r="R171" s="47"/>
      <c r="S171" s="47"/>
      <c r="T171" s="47"/>
      <c r="U171" s="47"/>
      <c r="V171" s="47"/>
      <c r="W171" s="47"/>
      <c r="X171" s="47"/>
      <c r="Y171" s="47"/>
      <c r="Z171" s="14"/>
    </row>
    <row r="172" spans="1:26" x14ac:dyDescent="0.25">
      <c r="A172" s="76">
        <v>165</v>
      </c>
      <c r="B172" s="76"/>
      <c r="C172" s="76"/>
      <c r="D172" s="76"/>
      <c r="E172" s="14"/>
      <c r="F172" s="1" t="str">
        <f>Assembler!M167</f>
        <v/>
      </c>
      <c r="G172" s="9">
        <f t="shared" si="12"/>
        <v>0</v>
      </c>
      <c r="H172" s="9" t="str">
        <f t="shared" si="13"/>
        <v>0</v>
      </c>
      <c r="I172" s="9" t="str">
        <f t="shared" si="14"/>
        <v>0</v>
      </c>
      <c r="J172" s="6">
        <f t="shared" si="15"/>
        <v>0</v>
      </c>
      <c r="K172" s="6">
        <f t="shared" si="16"/>
        <v>0</v>
      </c>
      <c r="L172" s="47"/>
      <c r="M172" s="47"/>
      <c r="N172" s="82"/>
      <c r="O172" s="82"/>
      <c r="P172" s="82"/>
      <c r="Q172" s="47"/>
      <c r="R172" s="47"/>
      <c r="S172" s="47"/>
      <c r="T172" s="47"/>
      <c r="U172" s="47"/>
      <c r="V172" s="47"/>
      <c r="W172" s="47"/>
      <c r="X172" s="47"/>
      <c r="Y172" s="47"/>
      <c r="Z172" s="14"/>
    </row>
    <row r="173" spans="1:26" x14ac:dyDescent="0.25">
      <c r="A173" s="76">
        <v>166</v>
      </c>
      <c r="B173" s="76"/>
      <c r="C173" s="76"/>
      <c r="D173" s="76"/>
      <c r="E173" s="14"/>
      <c r="F173" s="1" t="str">
        <f>Assembler!M168</f>
        <v/>
      </c>
      <c r="G173" s="9">
        <f t="shared" si="12"/>
        <v>0</v>
      </c>
      <c r="H173" s="9" t="str">
        <f t="shared" si="13"/>
        <v>0</v>
      </c>
      <c r="I173" s="9" t="str">
        <f t="shared" si="14"/>
        <v>0</v>
      </c>
      <c r="J173" s="6">
        <f t="shared" si="15"/>
        <v>0</v>
      </c>
      <c r="K173" s="6">
        <f t="shared" si="16"/>
        <v>0</v>
      </c>
      <c r="L173" s="47"/>
      <c r="M173" s="47"/>
      <c r="N173" s="82"/>
      <c r="O173" s="82"/>
      <c r="P173" s="82"/>
      <c r="Q173" s="47"/>
      <c r="R173" s="47"/>
      <c r="S173" s="47"/>
      <c r="T173" s="47"/>
      <c r="U173" s="47"/>
      <c r="V173" s="47"/>
      <c r="W173" s="47"/>
      <c r="X173" s="47"/>
      <c r="Y173" s="47"/>
      <c r="Z173" s="14"/>
    </row>
    <row r="174" spans="1:26" x14ac:dyDescent="0.25">
      <c r="A174" s="76">
        <v>167</v>
      </c>
      <c r="B174" s="76"/>
      <c r="C174" s="76"/>
      <c r="D174" s="76"/>
      <c r="E174" s="14"/>
      <c r="F174" s="1" t="str">
        <f>Assembler!M169</f>
        <v/>
      </c>
      <c r="G174" s="9">
        <f t="shared" si="12"/>
        <v>0</v>
      </c>
      <c r="H174" s="9" t="str">
        <f t="shared" si="13"/>
        <v>0</v>
      </c>
      <c r="I174" s="9" t="str">
        <f t="shared" si="14"/>
        <v>0</v>
      </c>
      <c r="J174" s="6">
        <f t="shared" si="15"/>
        <v>0</v>
      </c>
      <c r="K174" s="6">
        <f t="shared" si="16"/>
        <v>0</v>
      </c>
      <c r="L174" s="47"/>
      <c r="M174" s="47"/>
      <c r="N174" s="82"/>
      <c r="O174" s="82"/>
      <c r="P174" s="82"/>
      <c r="Q174" s="47"/>
      <c r="R174" s="47"/>
      <c r="S174" s="47"/>
      <c r="T174" s="47"/>
      <c r="U174" s="47"/>
      <c r="V174" s="47"/>
      <c r="W174" s="47"/>
      <c r="X174" s="47"/>
      <c r="Y174" s="47"/>
      <c r="Z174" s="14"/>
    </row>
    <row r="175" spans="1:26" x14ac:dyDescent="0.25">
      <c r="A175" s="76">
        <v>168</v>
      </c>
      <c r="B175" s="76"/>
      <c r="C175" s="76"/>
      <c r="D175" s="76"/>
      <c r="E175" s="14"/>
      <c r="F175" s="1" t="str">
        <f>Assembler!M170</f>
        <v/>
      </c>
      <c r="G175" s="9">
        <f t="shared" si="12"/>
        <v>0</v>
      </c>
      <c r="H175" s="9" t="str">
        <f t="shared" si="13"/>
        <v>0</v>
      </c>
      <c r="I175" s="9" t="str">
        <f t="shared" si="14"/>
        <v>0</v>
      </c>
      <c r="J175" s="6">
        <f t="shared" si="15"/>
        <v>0</v>
      </c>
      <c r="K175" s="6">
        <f t="shared" si="16"/>
        <v>0</v>
      </c>
      <c r="L175" s="47"/>
      <c r="M175" s="47"/>
      <c r="N175" s="82"/>
      <c r="O175" s="82"/>
      <c r="P175" s="82"/>
      <c r="Q175" s="47"/>
      <c r="R175" s="47"/>
      <c r="S175" s="47"/>
      <c r="T175" s="47"/>
      <c r="U175" s="47"/>
      <c r="V175" s="47"/>
      <c r="W175" s="47"/>
      <c r="X175" s="47"/>
      <c r="Y175" s="47"/>
      <c r="Z175" s="14"/>
    </row>
    <row r="176" spans="1:26" x14ac:dyDescent="0.25">
      <c r="A176" s="76">
        <v>169</v>
      </c>
      <c r="B176" s="76"/>
      <c r="C176" s="76"/>
      <c r="D176" s="76"/>
      <c r="E176" s="14"/>
      <c r="F176" s="1" t="str">
        <f>Assembler!M171</f>
        <v/>
      </c>
      <c r="G176" s="9">
        <f t="shared" si="12"/>
        <v>0</v>
      </c>
      <c r="H176" s="9" t="str">
        <f t="shared" si="13"/>
        <v>0</v>
      </c>
      <c r="I176" s="9" t="str">
        <f t="shared" si="14"/>
        <v>0</v>
      </c>
      <c r="J176" s="6">
        <f t="shared" si="15"/>
        <v>0</v>
      </c>
      <c r="K176" s="6">
        <f t="shared" si="16"/>
        <v>0</v>
      </c>
      <c r="L176" s="47"/>
      <c r="M176" s="47"/>
      <c r="N176" s="82"/>
      <c r="O176" s="82"/>
      <c r="P176" s="82"/>
      <c r="Q176" s="47"/>
      <c r="R176" s="47"/>
      <c r="S176" s="47"/>
      <c r="T176" s="47"/>
      <c r="U176" s="47"/>
      <c r="V176" s="47"/>
      <c r="W176" s="47"/>
      <c r="X176" s="47"/>
      <c r="Y176" s="47"/>
      <c r="Z176" s="14"/>
    </row>
    <row r="177" spans="1:26" x14ac:dyDescent="0.25">
      <c r="A177" s="76">
        <v>170</v>
      </c>
      <c r="B177" s="76"/>
      <c r="C177" s="76"/>
      <c r="D177" s="76"/>
      <c r="E177" s="14"/>
      <c r="F177" s="1" t="str">
        <f>Assembler!M172</f>
        <v/>
      </c>
      <c r="G177" s="9">
        <f t="shared" si="12"/>
        <v>0</v>
      </c>
      <c r="H177" s="9" t="str">
        <f t="shared" si="13"/>
        <v>0</v>
      </c>
      <c r="I177" s="9" t="str">
        <f t="shared" si="14"/>
        <v>0</v>
      </c>
      <c r="J177" s="6">
        <f t="shared" si="15"/>
        <v>0</v>
      </c>
      <c r="K177" s="6">
        <f t="shared" si="16"/>
        <v>0</v>
      </c>
      <c r="L177" s="47"/>
      <c r="M177" s="47"/>
      <c r="N177" s="82"/>
      <c r="O177" s="82"/>
      <c r="P177" s="82"/>
      <c r="Q177" s="47"/>
      <c r="R177" s="47"/>
      <c r="S177" s="47"/>
      <c r="T177" s="47"/>
      <c r="U177" s="47"/>
      <c r="V177" s="47"/>
      <c r="W177" s="47"/>
      <c r="X177" s="47"/>
      <c r="Y177" s="47"/>
      <c r="Z177" s="14"/>
    </row>
    <row r="178" spans="1:26" x14ac:dyDescent="0.25">
      <c r="A178" s="76">
        <v>171</v>
      </c>
      <c r="B178" s="76"/>
      <c r="C178" s="76"/>
      <c r="D178" s="76"/>
      <c r="E178" s="14"/>
      <c r="F178" s="1" t="str">
        <f>Assembler!M173</f>
        <v/>
      </c>
      <c r="G178" s="9">
        <f t="shared" si="12"/>
        <v>0</v>
      </c>
      <c r="H178" s="9" t="str">
        <f t="shared" si="13"/>
        <v>0</v>
      </c>
      <c r="I178" s="9" t="str">
        <f t="shared" si="14"/>
        <v>0</v>
      </c>
      <c r="J178" s="6">
        <f t="shared" si="15"/>
        <v>0</v>
      </c>
      <c r="K178" s="6">
        <f t="shared" si="16"/>
        <v>0</v>
      </c>
      <c r="L178" s="47"/>
      <c r="M178" s="47"/>
      <c r="N178" s="82"/>
      <c r="O178" s="82"/>
      <c r="P178" s="82"/>
      <c r="Q178" s="47"/>
      <c r="R178" s="47"/>
      <c r="S178" s="47"/>
      <c r="T178" s="47"/>
      <c r="U178" s="47"/>
      <c r="V178" s="47"/>
      <c r="W178" s="47"/>
      <c r="X178" s="47"/>
      <c r="Y178" s="47"/>
      <c r="Z178" s="14"/>
    </row>
    <row r="179" spans="1:26" x14ac:dyDescent="0.25">
      <c r="A179" s="76">
        <v>172</v>
      </c>
      <c r="B179" s="76"/>
      <c r="C179" s="76"/>
      <c r="D179" s="76"/>
      <c r="E179" s="14"/>
      <c r="F179" s="1" t="str">
        <f>Assembler!M174</f>
        <v/>
      </c>
      <c r="G179" s="9">
        <f t="shared" si="12"/>
        <v>0</v>
      </c>
      <c r="H179" s="9" t="str">
        <f t="shared" si="13"/>
        <v>0</v>
      </c>
      <c r="I179" s="9" t="str">
        <f t="shared" si="14"/>
        <v>0</v>
      </c>
      <c r="J179" s="6">
        <f t="shared" si="15"/>
        <v>0</v>
      </c>
      <c r="K179" s="6">
        <f t="shared" si="16"/>
        <v>0</v>
      </c>
      <c r="L179" s="47"/>
      <c r="M179" s="47"/>
      <c r="N179" s="82"/>
      <c r="O179" s="82"/>
      <c r="P179" s="82"/>
      <c r="Q179" s="47"/>
      <c r="R179" s="47"/>
      <c r="S179" s="47"/>
      <c r="T179" s="47"/>
      <c r="U179" s="47"/>
      <c r="V179" s="47"/>
      <c r="W179" s="47"/>
      <c r="X179" s="47"/>
      <c r="Y179" s="47"/>
      <c r="Z179" s="14"/>
    </row>
    <row r="180" spans="1:26" x14ac:dyDescent="0.25">
      <c r="A180" s="76">
        <v>173</v>
      </c>
      <c r="B180" s="76"/>
      <c r="C180" s="76"/>
      <c r="D180" s="76"/>
      <c r="E180" s="14"/>
      <c r="F180" s="1" t="str">
        <f>Assembler!M175</f>
        <v/>
      </c>
      <c r="G180" s="9">
        <f t="shared" si="12"/>
        <v>0</v>
      </c>
      <c r="H180" s="9" t="str">
        <f t="shared" si="13"/>
        <v>0</v>
      </c>
      <c r="I180" s="9" t="str">
        <f t="shared" si="14"/>
        <v>0</v>
      </c>
      <c r="J180" s="6">
        <f t="shared" si="15"/>
        <v>0</v>
      </c>
      <c r="K180" s="6">
        <f t="shared" si="16"/>
        <v>0</v>
      </c>
      <c r="L180" s="47"/>
      <c r="M180" s="47"/>
      <c r="N180" s="82"/>
      <c r="O180" s="82"/>
      <c r="P180" s="82"/>
      <c r="Q180" s="47"/>
      <c r="R180" s="47"/>
      <c r="S180" s="47"/>
      <c r="T180" s="47"/>
      <c r="U180" s="47"/>
      <c r="V180" s="47"/>
      <c r="W180" s="47"/>
      <c r="X180" s="47"/>
      <c r="Y180" s="47"/>
      <c r="Z180" s="14"/>
    </row>
    <row r="181" spans="1:26" x14ac:dyDescent="0.25">
      <c r="A181" s="76">
        <v>174</v>
      </c>
      <c r="B181" s="76"/>
      <c r="C181" s="76"/>
      <c r="D181" s="76"/>
      <c r="E181" s="14"/>
      <c r="F181" s="1" t="str">
        <f>Assembler!M176</f>
        <v/>
      </c>
      <c r="G181" s="9">
        <f t="shared" si="12"/>
        <v>0</v>
      </c>
      <c r="H181" s="9" t="str">
        <f t="shared" si="13"/>
        <v>0</v>
      </c>
      <c r="I181" s="9" t="str">
        <f t="shared" si="14"/>
        <v>0</v>
      </c>
      <c r="J181" s="6">
        <f t="shared" si="15"/>
        <v>0</v>
      </c>
      <c r="K181" s="6">
        <f t="shared" si="16"/>
        <v>0</v>
      </c>
      <c r="L181" s="47"/>
      <c r="M181" s="47"/>
      <c r="N181" s="82"/>
      <c r="O181" s="82"/>
      <c r="P181" s="82"/>
      <c r="Q181" s="47"/>
      <c r="R181" s="47"/>
      <c r="S181" s="47"/>
      <c r="T181" s="47"/>
      <c r="U181" s="47"/>
      <c r="V181" s="47"/>
      <c r="W181" s="47"/>
      <c r="X181" s="47"/>
      <c r="Y181" s="47"/>
      <c r="Z181" s="14"/>
    </row>
    <row r="182" spans="1:26" x14ac:dyDescent="0.25">
      <c r="A182" s="76">
        <v>175</v>
      </c>
      <c r="B182" s="76"/>
      <c r="C182" s="76"/>
      <c r="D182" s="76"/>
      <c r="E182" s="14"/>
      <c r="F182" s="1" t="str">
        <f>Assembler!M177</f>
        <v/>
      </c>
      <c r="G182" s="9">
        <f t="shared" si="12"/>
        <v>0</v>
      </c>
      <c r="H182" s="9" t="str">
        <f t="shared" si="13"/>
        <v>0</v>
      </c>
      <c r="I182" s="9" t="str">
        <f t="shared" si="14"/>
        <v>0</v>
      </c>
      <c r="J182" s="6">
        <f t="shared" si="15"/>
        <v>0</v>
      </c>
      <c r="K182" s="6">
        <f t="shared" si="16"/>
        <v>0</v>
      </c>
      <c r="L182" s="47"/>
      <c r="M182" s="47"/>
      <c r="N182" s="82"/>
      <c r="O182" s="82"/>
      <c r="P182" s="82"/>
      <c r="Q182" s="47"/>
      <c r="R182" s="47"/>
      <c r="S182" s="47"/>
      <c r="T182" s="47"/>
      <c r="U182" s="47"/>
      <c r="V182" s="47"/>
      <c r="W182" s="47"/>
      <c r="X182" s="47"/>
      <c r="Y182" s="47"/>
      <c r="Z182" s="14"/>
    </row>
    <row r="183" spans="1:26" x14ac:dyDescent="0.25">
      <c r="A183" s="76">
        <v>176</v>
      </c>
      <c r="B183" s="76"/>
      <c r="C183" s="76"/>
      <c r="D183" s="76"/>
      <c r="E183" s="14"/>
      <c r="F183" s="1" t="str">
        <f>Assembler!M178</f>
        <v/>
      </c>
      <c r="G183" s="9">
        <f t="shared" si="12"/>
        <v>0</v>
      </c>
      <c r="H183" s="9" t="str">
        <f t="shared" si="13"/>
        <v>0</v>
      </c>
      <c r="I183" s="9" t="str">
        <f t="shared" si="14"/>
        <v>0</v>
      </c>
      <c r="J183" s="6">
        <f t="shared" si="15"/>
        <v>0</v>
      </c>
      <c r="K183" s="6">
        <f t="shared" si="16"/>
        <v>0</v>
      </c>
      <c r="L183" s="47"/>
      <c r="M183" s="47"/>
      <c r="N183" s="82"/>
      <c r="O183" s="82"/>
      <c r="P183" s="82"/>
      <c r="Q183" s="47"/>
      <c r="R183" s="47"/>
      <c r="S183" s="47"/>
      <c r="T183" s="47"/>
      <c r="U183" s="47"/>
      <c r="V183" s="47"/>
      <c r="W183" s="47"/>
      <c r="X183" s="47"/>
      <c r="Y183" s="47"/>
      <c r="Z183" s="14"/>
    </row>
    <row r="184" spans="1:26" x14ac:dyDescent="0.25">
      <c r="A184" s="76">
        <v>177</v>
      </c>
      <c r="B184" s="76"/>
      <c r="C184" s="76"/>
      <c r="D184" s="76"/>
      <c r="E184" s="14"/>
      <c r="F184" s="1" t="str">
        <f>Assembler!M179</f>
        <v/>
      </c>
      <c r="G184" s="9">
        <f t="shared" si="12"/>
        <v>0</v>
      </c>
      <c r="H184" s="9" t="str">
        <f t="shared" si="13"/>
        <v>0</v>
      </c>
      <c r="I184" s="9" t="str">
        <f t="shared" si="14"/>
        <v>0</v>
      </c>
      <c r="J184" s="6">
        <f t="shared" si="15"/>
        <v>0</v>
      </c>
      <c r="K184" s="6">
        <f t="shared" si="16"/>
        <v>0</v>
      </c>
      <c r="L184" s="47"/>
      <c r="M184" s="47"/>
      <c r="N184" s="82"/>
      <c r="O184" s="82"/>
      <c r="P184" s="82"/>
      <c r="Q184" s="47"/>
      <c r="R184" s="47"/>
      <c r="S184" s="47"/>
      <c r="T184" s="47"/>
      <c r="U184" s="47"/>
      <c r="V184" s="47"/>
      <c r="W184" s="47"/>
      <c r="X184" s="47"/>
      <c r="Y184" s="47"/>
      <c r="Z184" s="14"/>
    </row>
    <row r="185" spans="1:26" x14ac:dyDescent="0.25">
      <c r="A185" s="76">
        <v>178</v>
      </c>
      <c r="B185" s="76"/>
      <c r="C185" s="76"/>
      <c r="D185" s="76"/>
      <c r="E185" s="14"/>
      <c r="F185" s="1" t="str">
        <f>Assembler!M180</f>
        <v/>
      </c>
      <c r="G185" s="9">
        <f t="shared" si="12"/>
        <v>0</v>
      </c>
      <c r="H185" s="9" t="str">
        <f t="shared" si="13"/>
        <v>0</v>
      </c>
      <c r="I185" s="9" t="str">
        <f t="shared" si="14"/>
        <v>0</v>
      </c>
      <c r="J185" s="6">
        <f t="shared" si="15"/>
        <v>0</v>
      </c>
      <c r="K185" s="6">
        <f t="shared" si="16"/>
        <v>0</v>
      </c>
      <c r="L185" s="47"/>
      <c r="M185" s="47"/>
      <c r="N185" s="82"/>
      <c r="O185" s="82"/>
      <c r="P185" s="82"/>
      <c r="Q185" s="47"/>
      <c r="R185" s="47"/>
      <c r="S185" s="47"/>
      <c r="T185" s="47"/>
      <c r="U185" s="47"/>
      <c r="V185" s="47"/>
      <c r="W185" s="47"/>
      <c r="X185" s="47"/>
      <c r="Y185" s="47"/>
      <c r="Z185" s="14"/>
    </row>
    <row r="186" spans="1:26" x14ac:dyDescent="0.25">
      <c r="A186" s="76">
        <v>179</v>
      </c>
      <c r="B186" s="76"/>
      <c r="C186" s="76"/>
      <c r="D186" s="76"/>
      <c r="E186" s="14"/>
      <c r="F186" s="1" t="str">
        <f>Assembler!M181</f>
        <v/>
      </c>
      <c r="G186" s="9">
        <f t="shared" si="12"/>
        <v>0</v>
      </c>
      <c r="H186" s="9" t="str">
        <f t="shared" si="13"/>
        <v>0</v>
      </c>
      <c r="I186" s="9" t="str">
        <f t="shared" si="14"/>
        <v>0</v>
      </c>
      <c r="J186" s="6">
        <f t="shared" si="15"/>
        <v>0</v>
      </c>
      <c r="K186" s="6">
        <f t="shared" si="16"/>
        <v>0</v>
      </c>
      <c r="L186" s="47"/>
      <c r="M186" s="47"/>
      <c r="N186" s="82"/>
      <c r="O186" s="82"/>
      <c r="P186" s="82"/>
      <c r="Q186" s="47"/>
      <c r="R186" s="47"/>
      <c r="S186" s="47"/>
      <c r="T186" s="47"/>
      <c r="U186" s="47"/>
      <c r="V186" s="47"/>
      <c r="W186" s="47"/>
      <c r="X186" s="47"/>
      <c r="Y186" s="47"/>
      <c r="Z186" s="14"/>
    </row>
    <row r="187" spans="1:26" x14ac:dyDescent="0.25">
      <c r="A187" s="76">
        <v>180</v>
      </c>
      <c r="B187" s="76"/>
      <c r="C187" s="76"/>
      <c r="D187" s="76"/>
      <c r="E187" s="14"/>
      <c r="F187" s="1" t="str">
        <f>Assembler!M182</f>
        <v/>
      </c>
      <c r="G187" s="9">
        <f t="shared" si="12"/>
        <v>0</v>
      </c>
      <c r="H187" s="9" t="str">
        <f t="shared" si="13"/>
        <v>0</v>
      </c>
      <c r="I187" s="9" t="str">
        <f t="shared" si="14"/>
        <v>0</v>
      </c>
      <c r="J187" s="6">
        <f t="shared" si="15"/>
        <v>0</v>
      </c>
      <c r="K187" s="6">
        <f t="shared" si="16"/>
        <v>0</v>
      </c>
      <c r="L187" s="47"/>
      <c r="M187" s="47"/>
      <c r="N187" s="82"/>
      <c r="O187" s="82"/>
      <c r="P187" s="82"/>
      <c r="Q187" s="47"/>
      <c r="R187" s="47"/>
      <c r="S187" s="47"/>
      <c r="T187" s="47"/>
      <c r="U187" s="47"/>
      <c r="V187" s="47"/>
      <c r="W187" s="47"/>
      <c r="X187" s="47"/>
      <c r="Y187" s="47"/>
      <c r="Z187" s="14"/>
    </row>
    <row r="188" spans="1:26" x14ac:dyDescent="0.25">
      <c r="A188" s="76">
        <v>181</v>
      </c>
      <c r="B188" s="76"/>
      <c r="C188" s="76"/>
      <c r="D188" s="76"/>
      <c r="E188" s="14"/>
      <c r="F188" s="1" t="str">
        <f>Assembler!M183</f>
        <v/>
      </c>
      <c r="G188" s="9">
        <f t="shared" si="12"/>
        <v>0</v>
      </c>
      <c r="H188" s="9" t="str">
        <f t="shared" si="13"/>
        <v>0</v>
      </c>
      <c r="I188" s="9" t="str">
        <f t="shared" si="14"/>
        <v>0</v>
      </c>
      <c r="J188" s="6">
        <f t="shared" si="15"/>
        <v>0</v>
      </c>
      <c r="K188" s="6">
        <f t="shared" si="16"/>
        <v>0</v>
      </c>
      <c r="L188" s="47"/>
      <c r="M188" s="47"/>
      <c r="N188" s="82"/>
      <c r="O188" s="82"/>
      <c r="P188" s="82"/>
      <c r="Q188" s="47"/>
      <c r="R188" s="47"/>
      <c r="S188" s="47"/>
      <c r="T188" s="47"/>
      <c r="U188" s="47"/>
      <c r="V188" s="47"/>
      <c r="W188" s="47"/>
      <c r="X188" s="47"/>
      <c r="Y188" s="47"/>
      <c r="Z188" s="14"/>
    </row>
    <row r="189" spans="1:26" x14ac:dyDescent="0.25">
      <c r="A189" s="76">
        <v>182</v>
      </c>
      <c r="B189" s="76"/>
      <c r="C189" s="76"/>
      <c r="D189" s="76"/>
      <c r="E189" s="14"/>
      <c r="F189" s="1" t="str">
        <f>Assembler!M184</f>
        <v/>
      </c>
      <c r="G189" s="9">
        <f t="shared" si="12"/>
        <v>0</v>
      </c>
      <c r="H189" s="9" t="str">
        <f t="shared" si="13"/>
        <v>0</v>
      </c>
      <c r="I189" s="9" t="str">
        <f t="shared" si="14"/>
        <v>0</v>
      </c>
      <c r="J189" s="6">
        <f t="shared" si="15"/>
        <v>0</v>
      </c>
      <c r="K189" s="6">
        <f t="shared" si="16"/>
        <v>0</v>
      </c>
      <c r="L189" s="47"/>
      <c r="M189" s="47"/>
      <c r="N189" s="82"/>
      <c r="O189" s="82"/>
      <c r="P189" s="82"/>
      <c r="Q189" s="47"/>
      <c r="R189" s="47"/>
      <c r="S189" s="47"/>
      <c r="T189" s="47"/>
      <c r="U189" s="47"/>
      <c r="V189" s="47"/>
      <c r="W189" s="47"/>
      <c r="X189" s="47"/>
      <c r="Y189" s="47"/>
      <c r="Z189" s="14"/>
    </row>
    <row r="190" spans="1:26" x14ac:dyDescent="0.25">
      <c r="A190" s="76">
        <v>183</v>
      </c>
      <c r="B190" s="76"/>
      <c r="C190" s="76"/>
      <c r="D190" s="76"/>
      <c r="E190" s="14"/>
      <c r="F190" s="1" t="str">
        <f>Assembler!M185</f>
        <v/>
      </c>
      <c r="G190" s="9">
        <f t="shared" si="12"/>
        <v>0</v>
      </c>
      <c r="H190" s="9" t="str">
        <f t="shared" si="13"/>
        <v>0</v>
      </c>
      <c r="I190" s="9" t="str">
        <f t="shared" si="14"/>
        <v>0</v>
      </c>
      <c r="J190" s="6">
        <f t="shared" si="15"/>
        <v>0</v>
      </c>
      <c r="K190" s="6">
        <f t="shared" si="16"/>
        <v>0</v>
      </c>
      <c r="L190" s="47"/>
      <c r="M190" s="47"/>
      <c r="N190" s="82"/>
      <c r="O190" s="82"/>
      <c r="P190" s="82"/>
      <c r="Q190" s="47"/>
      <c r="R190" s="47"/>
      <c r="S190" s="47"/>
      <c r="T190" s="47"/>
      <c r="U190" s="47"/>
      <c r="V190" s="47"/>
      <c r="W190" s="47"/>
      <c r="X190" s="47"/>
      <c r="Y190" s="47"/>
      <c r="Z190" s="14"/>
    </row>
    <row r="191" spans="1:26" x14ac:dyDescent="0.25">
      <c r="A191" s="76">
        <v>184</v>
      </c>
      <c r="B191" s="76"/>
      <c r="C191" s="76"/>
      <c r="D191" s="76"/>
      <c r="E191" s="14"/>
      <c r="F191" s="1" t="str">
        <f>Assembler!M186</f>
        <v/>
      </c>
      <c r="G191" s="9">
        <f t="shared" si="12"/>
        <v>0</v>
      </c>
      <c r="H191" s="9" t="str">
        <f t="shared" si="13"/>
        <v>0</v>
      </c>
      <c r="I191" s="9" t="str">
        <f t="shared" si="14"/>
        <v>0</v>
      </c>
      <c r="J191" s="6">
        <f t="shared" si="15"/>
        <v>0</v>
      </c>
      <c r="K191" s="6">
        <f t="shared" si="16"/>
        <v>0</v>
      </c>
      <c r="L191" s="47"/>
      <c r="M191" s="47"/>
      <c r="N191" s="82"/>
      <c r="O191" s="82"/>
      <c r="P191" s="82"/>
      <c r="Q191" s="47"/>
      <c r="R191" s="47"/>
      <c r="S191" s="47"/>
      <c r="T191" s="47"/>
      <c r="U191" s="47"/>
      <c r="V191" s="47"/>
      <c r="W191" s="47"/>
      <c r="X191" s="47"/>
      <c r="Y191" s="47"/>
      <c r="Z191" s="14"/>
    </row>
    <row r="192" spans="1:26" x14ac:dyDescent="0.25">
      <c r="A192" s="76">
        <v>185</v>
      </c>
      <c r="B192" s="76"/>
      <c r="C192" s="76"/>
      <c r="D192" s="76"/>
      <c r="E192" s="14"/>
      <c r="F192" s="1" t="str">
        <f>Assembler!M187</f>
        <v/>
      </c>
      <c r="G192" s="9">
        <f t="shared" si="12"/>
        <v>0</v>
      </c>
      <c r="H192" s="9" t="str">
        <f t="shared" si="13"/>
        <v>0</v>
      </c>
      <c r="I192" s="9" t="str">
        <f t="shared" si="14"/>
        <v>0</v>
      </c>
      <c r="J192" s="6">
        <f t="shared" si="15"/>
        <v>0</v>
      </c>
      <c r="K192" s="6">
        <f t="shared" si="16"/>
        <v>0</v>
      </c>
      <c r="L192" s="47"/>
      <c r="M192" s="47"/>
      <c r="N192" s="82"/>
      <c r="O192" s="82"/>
      <c r="P192" s="82"/>
      <c r="Q192" s="47"/>
      <c r="R192" s="47"/>
      <c r="S192" s="47"/>
      <c r="T192" s="47"/>
      <c r="U192" s="47"/>
      <c r="V192" s="47"/>
      <c r="W192" s="47"/>
      <c r="X192" s="47"/>
      <c r="Y192" s="47"/>
      <c r="Z192" s="14"/>
    </row>
    <row r="193" spans="1:26" x14ac:dyDescent="0.25">
      <c r="A193" s="76">
        <v>186</v>
      </c>
      <c r="B193" s="76"/>
      <c r="C193" s="76"/>
      <c r="D193" s="76"/>
      <c r="E193" s="14"/>
      <c r="F193" s="1" t="str">
        <f>Assembler!M188</f>
        <v/>
      </c>
      <c r="G193" s="9">
        <f t="shared" si="12"/>
        <v>0</v>
      </c>
      <c r="H193" s="9" t="str">
        <f t="shared" si="13"/>
        <v>0</v>
      </c>
      <c r="I193" s="9" t="str">
        <f t="shared" si="14"/>
        <v>0</v>
      </c>
      <c r="J193" s="6">
        <f t="shared" si="15"/>
        <v>0</v>
      </c>
      <c r="K193" s="6">
        <f t="shared" si="16"/>
        <v>0</v>
      </c>
      <c r="L193" s="47"/>
      <c r="M193" s="47"/>
      <c r="N193" s="82"/>
      <c r="O193" s="82"/>
      <c r="P193" s="82"/>
      <c r="Q193" s="47"/>
      <c r="R193" s="47"/>
      <c r="S193" s="47"/>
      <c r="T193" s="47"/>
      <c r="U193" s="47"/>
      <c r="V193" s="47"/>
      <c r="W193" s="47"/>
      <c r="X193" s="47"/>
      <c r="Y193" s="47"/>
      <c r="Z193" s="14"/>
    </row>
    <row r="194" spans="1:26" x14ac:dyDescent="0.25">
      <c r="A194" s="76">
        <v>187</v>
      </c>
      <c r="B194" s="76"/>
      <c r="C194" s="76"/>
      <c r="D194" s="76"/>
      <c r="E194" s="14"/>
      <c r="F194" s="1" t="str">
        <f>Assembler!M189</f>
        <v/>
      </c>
      <c r="G194" s="9">
        <f t="shared" si="12"/>
        <v>0</v>
      </c>
      <c r="H194" s="9" t="str">
        <f t="shared" si="13"/>
        <v>0</v>
      </c>
      <c r="I194" s="9" t="str">
        <f t="shared" si="14"/>
        <v>0</v>
      </c>
      <c r="J194" s="6">
        <f t="shared" si="15"/>
        <v>0</v>
      </c>
      <c r="K194" s="6">
        <f t="shared" si="16"/>
        <v>0</v>
      </c>
      <c r="L194" s="47"/>
      <c r="M194" s="47"/>
      <c r="N194" s="82"/>
      <c r="O194" s="82"/>
      <c r="P194" s="82"/>
      <c r="Q194" s="47"/>
      <c r="R194" s="47"/>
      <c r="S194" s="47"/>
      <c r="T194" s="47"/>
      <c r="U194" s="47"/>
      <c r="V194" s="47"/>
      <c r="W194" s="47"/>
      <c r="X194" s="47"/>
      <c r="Y194" s="47"/>
      <c r="Z194" s="14"/>
    </row>
    <row r="195" spans="1:26" x14ac:dyDescent="0.25">
      <c r="A195" s="76">
        <v>188</v>
      </c>
      <c r="B195" s="76"/>
      <c r="C195" s="76"/>
      <c r="D195" s="76"/>
      <c r="E195" s="14"/>
      <c r="F195" s="1" t="str">
        <f>Assembler!M190</f>
        <v/>
      </c>
      <c r="G195" s="9">
        <f t="shared" si="12"/>
        <v>0</v>
      </c>
      <c r="H195" s="9" t="str">
        <f t="shared" si="13"/>
        <v>0</v>
      </c>
      <c r="I195" s="9" t="str">
        <f t="shared" si="14"/>
        <v>0</v>
      </c>
      <c r="J195" s="6">
        <f t="shared" si="15"/>
        <v>0</v>
      </c>
      <c r="K195" s="6">
        <f t="shared" si="16"/>
        <v>0</v>
      </c>
      <c r="L195" s="47"/>
      <c r="M195" s="47"/>
      <c r="N195" s="82"/>
      <c r="O195" s="82"/>
      <c r="P195" s="82"/>
      <c r="Q195" s="47"/>
      <c r="R195" s="47"/>
      <c r="S195" s="47"/>
      <c r="T195" s="47"/>
      <c r="U195" s="47"/>
      <c r="V195" s="47"/>
      <c r="W195" s="47"/>
      <c r="X195" s="47"/>
      <c r="Y195" s="47"/>
      <c r="Z195" s="14"/>
    </row>
    <row r="196" spans="1:26" x14ac:dyDescent="0.25">
      <c r="A196" s="76">
        <v>189</v>
      </c>
      <c r="B196" s="76"/>
      <c r="C196" s="76"/>
      <c r="D196" s="76"/>
      <c r="E196" s="14"/>
      <c r="F196" s="1" t="str">
        <f>Assembler!M191</f>
        <v/>
      </c>
      <c r="G196" s="9">
        <f t="shared" si="12"/>
        <v>0</v>
      </c>
      <c r="H196" s="9" t="str">
        <f t="shared" si="13"/>
        <v>0</v>
      </c>
      <c r="I196" s="9" t="str">
        <f t="shared" si="14"/>
        <v>0</v>
      </c>
      <c r="J196" s="6">
        <f t="shared" si="15"/>
        <v>0</v>
      </c>
      <c r="K196" s="6">
        <f t="shared" si="16"/>
        <v>0</v>
      </c>
      <c r="L196" s="47"/>
      <c r="M196" s="47"/>
      <c r="N196" s="82"/>
      <c r="O196" s="82"/>
      <c r="P196" s="82"/>
      <c r="Q196" s="47"/>
      <c r="R196" s="47"/>
      <c r="S196" s="47"/>
      <c r="T196" s="47"/>
      <c r="U196" s="47"/>
      <c r="V196" s="47"/>
      <c r="W196" s="47"/>
      <c r="X196" s="47"/>
      <c r="Y196" s="47"/>
      <c r="Z196" s="14"/>
    </row>
    <row r="197" spans="1:26" x14ac:dyDescent="0.25">
      <c r="A197" s="76">
        <v>190</v>
      </c>
      <c r="B197" s="76"/>
      <c r="C197" s="76"/>
      <c r="D197" s="76"/>
      <c r="E197" s="14"/>
      <c r="F197" s="1" t="str">
        <f>Assembler!M192</f>
        <v/>
      </c>
      <c r="G197" s="9">
        <f t="shared" si="12"/>
        <v>0</v>
      </c>
      <c r="H197" s="9" t="str">
        <f t="shared" si="13"/>
        <v>0</v>
      </c>
      <c r="I197" s="9" t="str">
        <f t="shared" si="14"/>
        <v>0</v>
      </c>
      <c r="J197" s="6">
        <f t="shared" si="15"/>
        <v>0</v>
      </c>
      <c r="K197" s="6">
        <f t="shared" si="16"/>
        <v>0</v>
      </c>
      <c r="L197" s="47"/>
      <c r="M197" s="47"/>
      <c r="N197" s="82"/>
      <c r="O197" s="82"/>
      <c r="P197" s="82"/>
      <c r="Q197" s="47"/>
      <c r="R197" s="47"/>
      <c r="S197" s="47"/>
      <c r="T197" s="47"/>
      <c r="U197" s="47"/>
      <c r="V197" s="47"/>
      <c r="W197" s="47"/>
      <c r="X197" s="47"/>
      <c r="Y197" s="47"/>
      <c r="Z197" s="14"/>
    </row>
    <row r="198" spans="1:26" x14ac:dyDescent="0.25">
      <c r="A198" s="76">
        <v>191</v>
      </c>
      <c r="B198" s="76"/>
      <c r="C198" s="76"/>
      <c r="D198" s="76"/>
      <c r="E198" s="14"/>
      <c r="F198" s="1" t="str">
        <f>Assembler!M193</f>
        <v/>
      </c>
      <c r="G198" s="9">
        <f t="shared" si="12"/>
        <v>0</v>
      </c>
      <c r="H198" s="9" t="str">
        <f t="shared" si="13"/>
        <v>0</v>
      </c>
      <c r="I198" s="9" t="str">
        <f t="shared" si="14"/>
        <v>0</v>
      </c>
      <c r="J198" s="6">
        <f t="shared" si="15"/>
        <v>0</v>
      </c>
      <c r="K198" s="6">
        <f t="shared" si="16"/>
        <v>0</v>
      </c>
      <c r="L198" s="47"/>
      <c r="M198" s="47"/>
      <c r="N198" s="82"/>
      <c r="O198" s="82"/>
      <c r="P198" s="82"/>
      <c r="Q198" s="47"/>
      <c r="R198" s="47"/>
      <c r="S198" s="47"/>
      <c r="T198" s="47"/>
      <c r="U198" s="47"/>
      <c r="V198" s="47"/>
      <c r="W198" s="47"/>
      <c r="X198" s="47"/>
      <c r="Y198" s="47"/>
      <c r="Z198" s="14"/>
    </row>
    <row r="199" spans="1:26" x14ac:dyDescent="0.25">
      <c r="A199" s="76">
        <v>192</v>
      </c>
      <c r="B199" s="76"/>
      <c r="C199" s="76"/>
      <c r="D199" s="76"/>
      <c r="E199" s="14"/>
      <c r="F199" s="1" t="str">
        <f>Assembler!M194</f>
        <v/>
      </c>
      <c r="G199" s="9">
        <f t="shared" si="12"/>
        <v>0</v>
      </c>
      <c r="H199" s="9" t="str">
        <f t="shared" si="13"/>
        <v>0</v>
      </c>
      <c r="I199" s="9" t="str">
        <f t="shared" si="14"/>
        <v>0</v>
      </c>
      <c r="J199" s="6">
        <f t="shared" si="15"/>
        <v>0</v>
      </c>
      <c r="K199" s="6">
        <f t="shared" si="16"/>
        <v>0</v>
      </c>
      <c r="L199" s="47"/>
      <c r="M199" s="47"/>
      <c r="N199" s="82"/>
      <c r="O199" s="82"/>
      <c r="P199" s="82"/>
      <c r="Q199" s="47"/>
      <c r="R199" s="47"/>
      <c r="S199" s="47"/>
      <c r="T199" s="47"/>
      <c r="U199" s="47"/>
      <c r="V199" s="47"/>
      <c r="W199" s="47"/>
      <c r="X199" s="47"/>
      <c r="Y199" s="47"/>
      <c r="Z199" s="14"/>
    </row>
    <row r="200" spans="1:26" x14ac:dyDescent="0.25">
      <c r="A200" s="76">
        <v>193</v>
      </c>
      <c r="B200" s="76"/>
      <c r="C200" s="76"/>
      <c r="D200" s="76"/>
      <c r="E200" s="14"/>
      <c r="F200" s="1" t="str">
        <f>Assembler!M195</f>
        <v/>
      </c>
      <c r="G200" s="9">
        <f t="shared" ref="G200:G262" si="17">E200</f>
        <v>0</v>
      </c>
      <c r="H200" s="9" t="str">
        <f t="shared" ref="H200:H262" si="18">BIN2HEX(F200)</f>
        <v>0</v>
      </c>
      <c r="I200" s="9" t="str">
        <f t="shared" ref="I200:I262" si="19">BIN2HEX(G200)</f>
        <v>0</v>
      </c>
      <c r="J200" s="6">
        <f t="shared" ref="J200:J262" si="20">BIN2DEC(F200)</f>
        <v>0</v>
      </c>
      <c r="K200" s="6">
        <f t="shared" ref="K200:K262" si="21">BIN2DEC(G200)</f>
        <v>0</v>
      </c>
      <c r="L200" s="47"/>
      <c r="M200" s="47"/>
      <c r="N200" s="82"/>
      <c r="O200" s="82"/>
      <c r="P200" s="82"/>
      <c r="Q200" s="47"/>
      <c r="R200" s="47"/>
      <c r="S200" s="47"/>
      <c r="T200" s="47"/>
      <c r="U200" s="47"/>
      <c r="V200" s="47"/>
      <c r="W200" s="47"/>
      <c r="X200" s="47"/>
      <c r="Y200" s="47"/>
      <c r="Z200" s="14"/>
    </row>
    <row r="201" spans="1:26" x14ac:dyDescent="0.25">
      <c r="A201" s="76">
        <v>194</v>
      </c>
      <c r="B201" s="76"/>
      <c r="C201" s="76"/>
      <c r="D201" s="76"/>
      <c r="E201" s="14"/>
      <c r="F201" s="1" t="str">
        <f>Assembler!M196</f>
        <v/>
      </c>
      <c r="G201" s="9">
        <f t="shared" si="17"/>
        <v>0</v>
      </c>
      <c r="H201" s="9" t="str">
        <f t="shared" si="18"/>
        <v>0</v>
      </c>
      <c r="I201" s="9" t="str">
        <f t="shared" si="19"/>
        <v>0</v>
      </c>
      <c r="J201" s="6">
        <f t="shared" si="20"/>
        <v>0</v>
      </c>
      <c r="K201" s="6">
        <f t="shared" si="21"/>
        <v>0</v>
      </c>
      <c r="L201" s="47"/>
      <c r="M201" s="47"/>
      <c r="N201" s="82"/>
      <c r="O201" s="82"/>
      <c r="P201" s="82"/>
      <c r="Q201" s="47"/>
      <c r="R201" s="47"/>
      <c r="S201" s="47"/>
      <c r="T201" s="47"/>
      <c r="U201" s="47"/>
      <c r="V201" s="47"/>
      <c r="W201" s="47"/>
      <c r="X201" s="47"/>
      <c r="Y201" s="47"/>
      <c r="Z201" s="14"/>
    </row>
    <row r="202" spans="1:26" x14ac:dyDescent="0.25">
      <c r="A202" s="76">
        <v>195</v>
      </c>
      <c r="B202" s="76"/>
      <c r="C202" s="76"/>
      <c r="D202" s="76"/>
      <c r="E202" s="14"/>
      <c r="F202" s="1" t="str">
        <f>Assembler!M197</f>
        <v/>
      </c>
      <c r="G202" s="9">
        <f t="shared" si="17"/>
        <v>0</v>
      </c>
      <c r="H202" s="9" t="str">
        <f t="shared" si="18"/>
        <v>0</v>
      </c>
      <c r="I202" s="9" t="str">
        <f t="shared" si="19"/>
        <v>0</v>
      </c>
      <c r="J202" s="6">
        <f t="shared" si="20"/>
        <v>0</v>
      </c>
      <c r="K202" s="6">
        <f t="shared" si="21"/>
        <v>0</v>
      </c>
      <c r="L202" s="47"/>
      <c r="M202" s="47"/>
      <c r="N202" s="82"/>
      <c r="O202" s="82"/>
      <c r="P202" s="82"/>
      <c r="Q202" s="47"/>
      <c r="R202" s="47"/>
      <c r="S202" s="47"/>
      <c r="T202" s="47"/>
      <c r="U202" s="47"/>
      <c r="V202" s="47"/>
      <c r="W202" s="47"/>
      <c r="X202" s="47"/>
      <c r="Y202" s="47"/>
      <c r="Z202" s="14"/>
    </row>
    <row r="203" spans="1:26" x14ac:dyDescent="0.25">
      <c r="A203" s="76">
        <v>196</v>
      </c>
      <c r="B203" s="76"/>
      <c r="C203" s="76"/>
      <c r="D203" s="76"/>
      <c r="E203" s="14"/>
      <c r="F203" s="1" t="str">
        <f>Assembler!M198</f>
        <v/>
      </c>
      <c r="G203" s="9">
        <f t="shared" si="17"/>
        <v>0</v>
      </c>
      <c r="H203" s="9" t="str">
        <f t="shared" si="18"/>
        <v>0</v>
      </c>
      <c r="I203" s="9" t="str">
        <f t="shared" si="19"/>
        <v>0</v>
      </c>
      <c r="J203" s="6">
        <f t="shared" si="20"/>
        <v>0</v>
      </c>
      <c r="K203" s="6">
        <f t="shared" si="21"/>
        <v>0</v>
      </c>
      <c r="L203" s="47"/>
      <c r="M203" s="47"/>
      <c r="N203" s="82"/>
      <c r="O203" s="82"/>
      <c r="P203" s="82"/>
      <c r="Q203" s="47"/>
      <c r="R203" s="47"/>
      <c r="S203" s="47"/>
      <c r="T203" s="47"/>
      <c r="U203" s="47"/>
      <c r="V203" s="47"/>
      <c r="W203" s="47"/>
      <c r="X203" s="47"/>
      <c r="Y203" s="47"/>
      <c r="Z203" s="14"/>
    </row>
    <row r="204" spans="1:26" x14ac:dyDescent="0.25">
      <c r="A204" s="76">
        <v>197</v>
      </c>
      <c r="B204" s="76"/>
      <c r="C204" s="76"/>
      <c r="D204" s="76"/>
      <c r="E204" s="14"/>
      <c r="F204" s="1" t="str">
        <f>Assembler!M199</f>
        <v/>
      </c>
      <c r="G204" s="9">
        <f t="shared" si="17"/>
        <v>0</v>
      </c>
      <c r="H204" s="9" t="str">
        <f t="shared" si="18"/>
        <v>0</v>
      </c>
      <c r="I204" s="9" t="str">
        <f t="shared" si="19"/>
        <v>0</v>
      </c>
      <c r="J204" s="6">
        <f t="shared" si="20"/>
        <v>0</v>
      </c>
      <c r="K204" s="6">
        <f t="shared" si="21"/>
        <v>0</v>
      </c>
      <c r="L204" s="47"/>
      <c r="M204" s="47"/>
      <c r="N204" s="82"/>
      <c r="O204" s="82"/>
      <c r="P204" s="82"/>
      <c r="Q204" s="47"/>
      <c r="R204" s="47"/>
      <c r="S204" s="47"/>
      <c r="T204" s="47"/>
      <c r="U204" s="47"/>
      <c r="V204" s="47"/>
      <c r="W204" s="47"/>
      <c r="X204" s="47"/>
      <c r="Y204" s="47"/>
      <c r="Z204" s="14"/>
    </row>
    <row r="205" spans="1:26" x14ac:dyDescent="0.25">
      <c r="A205" s="76">
        <v>198</v>
      </c>
      <c r="B205" s="76"/>
      <c r="C205" s="76"/>
      <c r="D205" s="76"/>
      <c r="E205" s="14"/>
      <c r="F205" s="1" t="str">
        <f>Assembler!M200</f>
        <v/>
      </c>
      <c r="G205" s="9">
        <f t="shared" si="17"/>
        <v>0</v>
      </c>
      <c r="H205" s="9" t="str">
        <f t="shared" si="18"/>
        <v>0</v>
      </c>
      <c r="I205" s="9" t="str">
        <f t="shared" si="19"/>
        <v>0</v>
      </c>
      <c r="J205" s="6">
        <f t="shared" si="20"/>
        <v>0</v>
      </c>
      <c r="K205" s="6">
        <f t="shared" si="21"/>
        <v>0</v>
      </c>
      <c r="L205" s="47"/>
      <c r="M205" s="47"/>
      <c r="N205" s="82"/>
      <c r="O205" s="82"/>
      <c r="P205" s="82"/>
      <c r="Q205" s="47"/>
      <c r="R205" s="47"/>
      <c r="S205" s="47"/>
      <c r="T205" s="47"/>
      <c r="U205" s="47"/>
      <c r="V205" s="47"/>
      <c r="W205" s="47"/>
      <c r="X205" s="47"/>
      <c r="Y205" s="47"/>
      <c r="Z205" s="14"/>
    </row>
    <row r="206" spans="1:26" x14ac:dyDescent="0.25">
      <c r="A206" s="76">
        <v>199</v>
      </c>
      <c r="B206" s="76"/>
      <c r="C206" s="76"/>
      <c r="D206" s="76"/>
      <c r="E206" s="14"/>
      <c r="F206" s="1" t="str">
        <f>Assembler!M201</f>
        <v/>
      </c>
      <c r="G206" s="9">
        <f t="shared" si="17"/>
        <v>0</v>
      </c>
      <c r="H206" s="9" t="str">
        <f t="shared" si="18"/>
        <v>0</v>
      </c>
      <c r="I206" s="9" t="str">
        <f t="shared" si="19"/>
        <v>0</v>
      </c>
      <c r="J206" s="6">
        <f t="shared" si="20"/>
        <v>0</v>
      </c>
      <c r="K206" s="6">
        <f t="shared" si="21"/>
        <v>0</v>
      </c>
      <c r="L206" s="47"/>
      <c r="M206" s="47"/>
      <c r="N206" s="82"/>
      <c r="O206" s="82"/>
      <c r="P206" s="82"/>
      <c r="Q206" s="47"/>
      <c r="R206" s="47"/>
      <c r="S206" s="47"/>
      <c r="T206" s="47"/>
      <c r="U206" s="47"/>
      <c r="V206" s="47"/>
      <c r="W206" s="47"/>
      <c r="X206" s="47"/>
      <c r="Y206" s="47"/>
      <c r="Z206" s="14"/>
    </row>
    <row r="207" spans="1:26" x14ac:dyDescent="0.25">
      <c r="A207" s="76">
        <v>200</v>
      </c>
      <c r="B207" s="76"/>
      <c r="C207" s="76"/>
      <c r="D207" s="76"/>
      <c r="E207" s="14"/>
      <c r="F207" s="1" t="str">
        <f>Assembler!M202</f>
        <v/>
      </c>
      <c r="G207" s="9">
        <f t="shared" si="17"/>
        <v>0</v>
      </c>
      <c r="H207" s="9" t="str">
        <f t="shared" si="18"/>
        <v>0</v>
      </c>
      <c r="I207" s="9" t="str">
        <f t="shared" si="19"/>
        <v>0</v>
      </c>
      <c r="J207" s="6">
        <f t="shared" si="20"/>
        <v>0</v>
      </c>
      <c r="K207" s="6">
        <f t="shared" si="21"/>
        <v>0</v>
      </c>
      <c r="L207" s="47"/>
      <c r="M207" s="47"/>
      <c r="N207" s="82"/>
      <c r="O207" s="82"/>
      <c r="P207" s="82"/>
      <c r="Q207" s="47"/>
      <c r="R207" s="47"/>
      <c r="S207" s="47"/>
      <c r="T207" s="47"/>
      <c r="U207" s="47"/>
      <c r="V207" s="47"/>
      <c r="W207" s="47"/>
      <c r="X207" s="47"/>
      <c r="Y207" s="47"/>
      <c r="Z207" s="14"/>
    </row>
    <row r="208" spans="1:26" x14ac:dyDescent="0.25">
      <c r="A208" s="76">
        <v>201</v>
      </c>
      <c r="B208" s="76"/>
      <c r="C208" s="76"/>
      <c r="D208" s="76"/>
      <c r="E208" s="14"/>
      <c r="F208" s="1" t="str">
        <f>Assembler!M203</f>
        <v/>
      </c>
      <c r="G208" s="9">
        <f t="shared" si="17"/>
        <v>0</v>
      </c>
      <c r="H208" s="9" t="str">
        <f t="shared" si="18"/>
        <v>0</v>
      </c>
      <c r="I208" s="9" t="str">
        <f t="shared" si="19"/>
        <v>0</v>
      </c>
      <c r="J208" s="6">
        <f t="shared" si="20"/>
        <v>0</v>
      </c>
      <c r="K208" s="6">
        <f t="shared" si="21"/>
        <v>0</v>
      </c>
      <c r="L208" s="47"/>
      <c r="M208" s="47"/>
      <c r="N208" s="82"/>
      <c r="O208" s="82"/>
      <c r="P208" s="82"/>
      <c r="Q208" s="47"/>
      <c r="R208" s="47"/>
      <c r="S208" s="47"/>
      <c r="T208" s="47"/>
      <c r="U208" s="47"/>
      <c r="V208" s="47"/>
      <c r="W208" s="47"/>
      <c r="X208" s="47"/>
      <c r="Y208" s="47"/>
      <c r="Z208" s="14"/>
    </row>
    <row r="209" spans="1:26" x14ac:dyDescent="0.25">
      <c r="A209" s="76">
        <v>202</v>
      </c>
      <c r="B209" s="76"/>
      <c r="C209" s="76"/>
      <c r="D209" s="76"/>
      <c r="E209" s="14"/>
      <c r="F209" s="1" t="str">
        <f>Assembler!M204</f>
        <v/>
      </c>
      <c r="G209" s="9">
        <f t="shared" si="17"/>
        <v>0</v>
      </c>
      <c r="H209" s="9" t="str">
        <f t="shared" si="18"/>
        <v>0</v>
      </c>
      <c r="I209" s="9" t="str">
        <f t="shared" si="19"/>
        <v>0</v>
      </c>
      <c r="J209" s="6">
        <f t="shared" si="20"/>
        <v>0</v>
      </c>
      <c r="K209" s="6">
        <f t="shared" si="21"/>
        <v>0</v>
      </c>
      <c r="L209" s="47"/>
      <c r="M209" s="47"/>
      <c r="N209" s="82"/>
      <c r="O209" s="82"/>
      <c r="P209" s="82"/>
      <c r="Q209" s="47"/>
      <c r="R209" s="47"/>
      <c r="S209" s="47"/>
      <c r="T209" s="47"/>
      <c r="U209" s="47"/>
      <c r="V209" s="47"/>
      <c r="W209" s="47"/>
      <c r="X209" s="47"/>
      <c r="Y209" s="47"/>
      <c r="Z209" s="14"/>
    </row>
    <row r="210" spans="1:26" x14ac:dyDescent="0.25">
      <c r="A210" s="76">
        <v>203</v>
      </c>
      <c r="B210" s="76"/>
      <c r="C210" s="76"/>
      <c r="D210" s="76"/>
      <c r="E210" s="14"/>
      <c r="F210" s="1" t="str">
        <f>Assembler!M205</f>
        <v/>
      </c>
      <c r="G210" s="9">
        <f t="shared" si="17"/>
        <v>0</v>
      </c>
      <c r="H210" s="9" t="str">
        <f t="shared" si="18"/>
        <v>0</v>
      </c>
      <c r="I210" s="9" t="str">
        <f t="shared" si="19"/>
        <v>0</v>
      </c>
      <c r="J210" s="6">
        <f t="shared" si="20"/>
        <v>0</v>
      </c>
      <c r="K210" s="6">
        <f t="shared" si="21"/>
        <v>0</v>
      </c>
      <c r="L210" s="47"/>
      <c r="M210" s="47"/>
      <c r="N210" s="82"/>
      <c r="O210" s="82"/>
      <c r="P210" s="82"/>
      <c r="Q210" s="47"/>
      <c r="R210" s="47"/>
      <c r="S210" s="47"/>
      <c r="T210" s="47"/>
      <c r="U210" s="47"/>
      <c r="V210" s="47"/>
      <c r="W210" s="47"/>
      <c r="X210" s="47"/>
      <c r="Y210" s="47"/>
      <c r="Z210" s="14"/>
    </row>
    <row r="211" spans="1:26" x14ac:dyDescent="0.25">
      <c r="A211" s="76">
        <v>204</v>
      </c>
      <c r="B211" s="76"/>
      <c r="C211" s="76"/>
      <c r="D211" s="76"/>
      <c r="E211" s="14"/>
      <c r="F211" s="1" t="str">
        <f>Assembler!M206</f>
        <v/>
      </c>
      <c r="G211" s="9">
        <f t="shared" si="17"/>
        <v>0</v>
      </c>
      <c r="H211" s="9" t="str">
        <f t="shared" si="18"/>
        <v>0</v>
      </c>
      <c r="I211" s="9" t="str">
        <f t="shared" si="19"/>
        <v>0</v>
      </c>
      <c r="J211" s="6">
        <f t="shared" si="20"/>
        <v>0</v>
      </c>
      <c r="K211" s="6">
        <f t="shared" si="21"/>
        <v>0</v>
      </c>
      <c r="L211" s="47"/>
      <c r="M211" s="47"/>
      <c r="N211" s="82"/>
      <c r="O211" s="82"/>
      <c r="P211" s="82"/>
      <c r="Q211" s="47"/>
      <c r="R211" s="47"/>
      <c r="S211" s="47"/>
      <c r="T211" s="47"/>
      <c r="U211" s="47"/>
      <c r="V211" s="47"/>
      <c r="W211" s="47"/>
      <c r="X211" s="47"/>
      <c r="Y211" s="47"/>
      <c r="Z211" s="14"/>
    </row>
    <row r="212" spans="1:26" x14ac:dyDescent="0.25">
      <c r="A212" s="76">
        <v>205</v>
      </c>
      <c r="B212" s="76"/>
      <c r="C212" s="76"/>
      <c r="D212" s="76"/>
      <c r="E212" s="14"/>
      <c r="F212" s="1" t="str">
        <f>Assembler!M207</f>
        <v/>
      </c>
      <c r="G212" s="9">
        <f t="shared" si="17"/>
        <v>0</v>
      </c>
      <c r="H212" s="9" t="str">
        <f t="shared" si="18"/>
        <v>0</v>
      </c>
      <c r="I212" s="9" t="str">
        <f t="shared" si="19"/>
        <v>0</v>
      </c>
      <c r="J212" s="6">
        <f t="shared" si="20"/>
        <v>0</v>
      </c>
      <c r="K212" s="6">
        <f t="shared" si="21"/>
        <v>0</v>
      </c>
      <c r="L212" s="47"/>
      <c r="M212" s="47"/>
      <c r="N212" s="82"/>
      <c r="O212" s="82"/>
      <c r="P212" s="82"/>
      <c r="Q212" s="47"/>
      <c r="R212" s="47"/>
      <c r="S212" s="47"/>
      <c r="T212" s="47"/>
      <c r="U212" s="47"/>
      <c r="V212" s="47"/>
      <c r="W212" s="47"/>
      <c r="X212" s="47"/>
      <c r="Y212" s="47"/>
      <c r="Z212" s="14"/>
    </row>
    <row r="213" spans="1:26" x14ac:dyDescent="0.25">
      <c r="A213" s="76">
        <v>206</v>
      </c>
      <c r="B213" s="76"/>
      <c r="C213" s="76"/>
      <c r="D213" s="76"/>
      <c r="E213" s="14"/>
      <c r="F213" s="1" t="str">
        <f>Assembler!M208</f>
        <v/>
      </c>
      <c r="G213" s="9">
        <f t="shared" si="17"/>
        <v>0</v>
      </c>
      <c r="H213" s="9" t="str">
        <f t="shared" si="18"/>
        <v>0</v>
      </c>
      <c r="I213" s="9" t="str">
        <f t="shared" si="19"/>
        <v>0</v>
      </c>
      <c r="J213" s="6">
        <f t="shared" si="20"/>
        <v>0</v>
      </c>
      <c r="K213" s="6">
        <f t="shared" si="21"/>
        <v>0</v>
      </c>
      <c r="L213" s="47"/>
      <c r="M213" s="47"/>
      <c r="N213" s="82"/>
      <c r="O213" s="82"/>
      <c r="P213" s="82"/>
      <c r="Q213" s="47"/>
      <c r="R213" s="47"/>
      <c r="S213" s="47"/>
      <c r="T213" s="47"/>
      <c r="U213" s="47"/>
      <c r="V213" s="47"/>
      <c r="W213" s="47"/>
      <c r="X213" s="47"/>
      <c r="Y213" s="47"/>
      <c r="Z213" s="14"/>
    </row>
    <row r="214" spans="1:26" x14ac:dyDescent="0.25">
      <c r="A214" s="76">
        <v>207</v>
      </c>
      <c r="B214" s="76"/>
      <c r="C214" s="76"/>
      <c r="D214" s="76"/>
      <c r="E214" s="14"/>
      <c r="F214" s="1" t="str">
        <f>Assembler!M209</f>
        <v/>
      </c>
      <c r="G214" s="9">
        <f t="shared" si="17"/>
        <v>0</v>
      </c>
      <c r="H214" s="9" t="str">
        <f t="shared" si="18"/>
        <v>0</v>
      </c>
      <c r="I214" s="9" t="str">
        <f t="shared" si="19"/>
        <v>0</v>
      </c>
      <c r="J214" s="6">
        <f t="shared" si="20"/>
        <v>0</v>
      </c>
      <c r="K214" s="6">
        <f t="shared" si="21"/>
        <v>0</v>
      </c>
      <c r="L214" s="47"/>
      <c r="M214" s="47"/>
      <c r="N214" s="82"/>
      <c r="O214" s="82"/>
      <c r="P214" s="82"/>
      <c r="Q214" s="47"/>
      <c r="R214" s="47"/>
      <c r="S214" s="47"/>
      <c r="T214" s="47"/>
      <c r="U214" s="47"/>
      <c r="V214" s="47"/>
      <c r="W214" s="47"/>
      <c r="X214" s="47"/>
      <c r="Y214" s="47"/>
      <c r="Z214" s="14"/>
    </row>
    <row r="215" spans="1:26" x14ac:dyDescent="0.25">
      <c r="A215" s="76">
        <v>208</v>
      </c>
      <c r="B215" s="76"/>
      <c r="C215" s="76"/>
      <c r="D215" s="76"/>
      <c r="E215" s="14"/>
      <c r="F215" s="1" t="str">
        <f>Assembler!M210</f>
        <v/>
      </c>
      <c r="G215" s="9">
        <f t="shared" si="17"/>
        <v>0</v>
      </c>
      <c r="H215" s="9" t="str">
        <f t="shared" si="18"/>
        <v>0</v>
      </c>
      <c r="I215" s="9" t="str">
        <f t="shared" si="19"/>
        <v>0</v>
      </c>
      <c r="J215" s="6">
        <f t="shared" si="20"/>
        <v>0</v>
      </c>
      <c r="K215" s="6">
        <f t="shared" si="21"/>
        <v>0</v>
      </c>
      <c r="L215" s="47"/>
      <c r="M215" s="47"/>
      <c r="N215" s="82"/>
      <c r="O215" s="82"/>
      <c r="P215" s="82"/>
      <c r="Q215" s="47"/>
      <c r="R215" s="47"/>
      <c r="S215" s="47"/>
      <c r="T215" s="47"/>
      <c r="U215" s="47"/>
      <c r="V215" s="47"/>
      <c r="W215" s="47"/>
      <c r="X215" s="47"/>
      <c r="Y215" s="47"/>
      <c r="Z215" s="14"/>
    </row>
    <row r="216" spans="1:26" x14ac:dyDescent="0.25">
      <c r="A216" s="76">
        <v>209</v>
      </c>
      <c r="B216" s="76"/>
      <c r="C216" s="76"/>
      <c r="D216" s="76"/>
      <c r="E216" s="14"/>
      <c r="F216" s="1" t="str">
        <f>Assembler!M211</f>
        <v/>
      </c>
      <c r="G216" s="9">
        <f t="shared" si="17"/>
        <v>0</v>
      </c>
      <c r="H216" s="9" t="str">
        <f t="shared" si="18"/>
        <v>0</v>
      </c>
      <c r="I216" s="9" t="str">
        <f t="shared" si="19"/>
        <v>0</v>
      </c>
      <c r="J216" s="6">
        <f t="shared" si="20"/>
        <v>0</v>
      </c>
      <c r="K216" s="6">
        <f t="shared" si="21"/>
        <v>0</v>
      </c>
      <c r="L216" s="47"/>
      <c r="M216" s="47"/>
      <c r="N216" s="82"/>
      <c r="O216" s="82"/>
      <c r="P216" s="82"/>
      <c r="Q216" s="47"/>
      <c r="R216" s="47"/>
      <c r="S216" s="47"/>
      <c r="T216" s="47"/>
      <c r="U216" s="47"/>
      <c r="V216" s="47"/>
      <c r="W216" s="47"/>
      <c r="X216" s="47"/>
      <c r="Y216" s="47"/>
      <c r="Z216" s="14"/>
    </row>
    <row r="217" spans="1:26" x14ac:dyDescent="0.25">
      <c r="A217" s="76">
        <v>210</v>
      </c>
      <c r="B217" s="76"/>
      <c r="C217" s="76"/>
      <c r="D217" s="76"/>
      <c r="E217" s="14"/>
      <c r="F217" s="1" t="str">
        <f>Assembler!M212</f>
        <v/>
      </c>
      <c r="G217" s="9">
        <f t="shared" si="17"/>
        <v>0</v>
      </c>
      <c r="H217" s="9" t="str">
        <f t="shared" si="18"/>
        <v>0</v>
      </c>
      <c r="I217" s="9" t="str">
        <f t="shared" si="19"/>
        <v>0</v>
      </c>
      <c r="J217" s="6">
        <f t="shared" si="20"/>
        <v>0</v>
      </c>
      <c r="K217" s="6">
        <f t="shared" si="21"/>
        <v>0</v>
      </c>
      <c r="L217" s="47"/>
      <c r="M217" s="47"/>
      <c r="N217" s="82"/>
      <c r="O217" s="82"/>
      <c r="P217" s="82"/>
      <c r="Q217" s="47"/>
      <c r="R217" s="47"/>
      <c r="S217" s="47"/>
      <c r="T217" s="47"/>
      <c r="U217" s="47"/>
      <c r="V217" s="47"/>
      <c r="W217" s="47"/>
      <c r="X217" s="47"/>
      <c r="Y217" s="47"/>
      <c r="Z217" s="14"/>
    </row>
    <row r="218" spans="1:26" x14ac:dyDescent="0.25">
      <c r="A218" s="76">
        <v>211</v>
      </c>
      <c r="B218" s="76"/>
      <c r="C218" s="76"/>
      <c r="D218" s="76"/>
      <c r="E218" s="14"/>
      <c r="F218" s="1" t="str">
        <f>Assembler!M213</f>
        <v/>
      </c>
      <c r="G218" s="9">
        <f t="shared" si="17"/>
        <v>0</v>
      </c>
      <c r="H218" s="9" t="str">
        <f t="shared" si="18"/>
        <v>0</v>
      </c>
      <c r="I218" s="9" t="str">
        <f t="shared" si="19"/>
        <v>0</v>
      </c>
      <c r="J218" s="6">
        <f t="shared" si="20"/>
        <v>0</v>
      </c>
      <c r="K218" s="6">
        <f t="shared" si="21"/>
        <v>0</v>
      </c>
      <c r="L218" s="47"/>
      <c r="M218" s="47"/>
      <c r="N218" s="82"/>
      <c r="O218" s="82"/>
      <c r="P218" s="82"/>
      <c r="Q218" s="47"/>
      <c r="R218" s="47"/>
      <c r="S218" s="47"/>
      <c r="T218" s="47"/>
      <c r="U218" s="47"/>
      <c r="V218" s="47"/>
      <c r="W218" s="47"/>
      <c r="X218" s="47"/>
      <c r="Y218" s="47"/>
      <c r="Z218" s="14"/>
    </row>
    <row r="219" spans="1:26" x14ac:dyDescent="0.25">
      <c r="A219" s="76">
        <v>212</v>
      </c>
      <c r="B219" s="76"/>
      <c r="C219" s="76"/>
      <c r="D219" s="76"/>
      <c r="E219" s="14"/>
      <c r="F219" s="1" t="str">
        <f>Assembler!M214</f>
        <v/>
      </c>
      <c r="G219" s="9">
        <f t="shared" si="17"/>
        <v>0</v>
      </c>
      <c r="H219" s="9" t="str">
        <f t="shared" si="18"/>
        <v>0</v>
      </c>
      <c r="I219" s="9" t="str">
        <f t="shared" si="19"/>
        <v>0</v>
      </c>
      <c r="J219" s="6">
        <f t="shared" si="20"/>
        <v>0</v>
      </c>
      <c r="K219" s="6">
        <f t="shared" si="21"/>
        <v>0</v>
      </c>
      <c r="L219" s="47"/>
      <c r="M219" s="47"/>
      <c r="N219" s="82"/>
      <c r="O219" s="82"/>
      <c r="P219" s="82"/>
      <c r="Q219" s="47"/>
      <c r="R219" s="47"/>
      <c r="S219" s="47"/>
      <c r="T219" s="47"/>
      <c r="U219" s="47"/>
      <c r="V219" s="47"/>
      <c r="W219" s="47"/>
      <c r="X219" s="47"/>
      <c r="Y219" s="47"/>
      <c r="Z219" s="14"/>
    </row>
    <row r="220" spans="1:26" x14ac:dyDescent="0.25">
      <c r="A220" s="76">
        <v>213</v>
      </c>
      <c r="B220" s="76"/>
      <c r="C220" s="76"/>
      <c r="D220" s="76"/>
      <c r="E220" s="14"/>
      <c r="F220" s="1" t="str">
        <f>Assembler!M215</f>
        <v/>
      </c>
      <c r="G220" s="9">
        <f t="shared" si="17"/>
        <v>0</v>
      </c>
      <c r="H220" s="9" t="str">
        <f t="shared" si="18"/>
        <v>0</v>
      </c>
      <c r="I220" s="9" t="str">
        <f t="shared" si="19"/>
        <v>0</v>
      </c>
      <c r="J220" s="6">
        <f t="shared" si="20"/>
        <v>0</v>
      </c>
      <c r="K220" s="6">
        <f t="shared" si="21"/>
        <v>0</v>
      </c>
      <c r="L220" s="47"/>
      <c r="M220" s="47"/>
      <c r="N220" s="82"/>
      <c r="O220" s="82"/>
      <c r="P220" s="82"/>
      <c r="Q220" s="47"/>
      <c r="R220" s="47"/>
      <c r="S220" s="47"/>
      <c r="T220" s="47"/>
      <c r="U220" s="47"/>
      <c r="V220" s="47"/>
      <c r="W220" s="47"/>
      <c r="X220" s="47"/>
      <c r="Y220" s="47"/>
      <c r="Z220" s="14"/>
    </row>
    <row r="221" spans="1:26" x14ac:dyDescent="0.25">
      <c r="A221" s="76">
        <v>214</v>
      </c>
      <c r="B221" s="76"/>
      <c r="C221" s="76"/>
      <c r="D221" s="76"/>
      <c r="E221" s="14"/>
      <c r="F221" s="1" t="str">
        <f>Assembler!M216</f>
        <v/>
      </c>
      <c r="G221" s="9">
        <f t="shared" si="17"/>
        <v>0</v>
      </c>
      <c r="H221" s="9" t="str">
        <f t="shared" si="18"/>
        <v>0</v>
      </c>
      <c r="I221" s="9" t="str">
        <f t="shared" si="19"/>
        <v>0</v>
      </c>
      <c r="J221" s="6">
        <f t="shared" si="20"/>
        <v>0</v>
      </c>
      <c r="K221" s="6">
        <f t="shared" si="21"/>
        <v>0</v>
      </c>
      <c r="L221" s="47"/>
      <c r="M221" s="47"/>
      <c r="N221" s="82"/>
      <c r="O221" s="82"/>
      <c r="P221" s="82"/>
      <c r="Q221" s="47"/>
      <c r="R221" s="47"/>
      <c r="S221" s="47"/>
      <c r="T221" s="47"/>
      <c r="U221" s="47"/>
      <c r="V221" s="47"/>
      <c r="W221" s="47"/>
      <c r="X221" s="47"/>
      <c r="Y221" s="47"/>
      <c r="Z221" s="14"/>
    </row>
    <row r="222" spans="1:26" x14ac:dyDescent="0.25">
      <c r="A222" s="76">
        <v>215</v>
      </c>
      <c r="B222" s="76"/>
      <c r="C222" s="76"/>
      <c r="D222" s="76"/>
      <c r="E222" s="14"/>
      <c r="F222" s="1" t="str">
        <f>Assembler!M217</f>
        <v/>
      </c>
      <c r="G222" s="9">
        <f t="shared" si="17"/>
        <v>0</v>
      </c>
      <c r="H222" s="9" t="str">
        <f t="shared" si="18"/>
        <v>0</v>
      </c>
      <c r="I222" s="9" t="str">
        <f t="shared" si="19"/>
        <v>0</v>
      </c>
      <c r="J222" s="6">
        <f t="shared" si="20"/>
        <v>0</v>
      </c>
      <c r="K222" s="6">
        <f t="shared" si="21"/>
        <v>0</v>
      </c>
      <c r="L222" s="47"/>
      <c r="M222" s="47"/>
      <c r="N222" s="82"/>
      <c r="O222" s="82"/>
      <c r="P222" s="82"/>
      <c r="Q222" s="47"/>
      <c r="R222" s="47"/>
      <c r="S222" s="47"/>
      <c r="T222" s="47"/>
      <c r="U222" s="47"/>
      <c r="V222" s="47"/>
      <c r="W222" s="47"/>
      <c r="X222" s="47"/>
      <c r="Y222" s="47"/>
      <c r="Z222" s="14"/>
    </row>
    <row r="223" spans="1:26" x14ac:dyDescent="0.25">
      <c r="A223" s="76">
        <v>216</v>
      </c>
      <c r="B223" s="76"/>
      <c r="C223" s="76"/>
      <c r="D223" s="76"/>
      <c r="E223" s="14"/>
      <c r="F223" s="1" t="str">
        <f>Assembler!M218</f>
        <v/>
      </c>
      <c r="G223" s="9">
        <f t="shared" si="17"/>
        <v>0</v>
      </c>
      <c r="H223" s="9" t="str">
        <f t="shared" si="18"/>
        <v>0</v>
      </c>
      <c r="I223" s="9" t="str">
        <f t="shared" si="19"/>
        <v>0</v>
      </c>
      <c r="J223" s="6">
        <f t="shared" si="20"/>
        <v>0</v>
      </c>
      <c r="K223" s="6">
        <f t="shared" si="21"/>
        <v>0</v>
      </c>
      <c r="L223" s="47"/>
      <c r="M223" s="47"/>
      <c r="N223" s="82"/>
      <c r="O223" s="82"/>
      <c r="P223" s="82"/>
      <c r="Q223" s="47"/>
      <c r="R223" s="47"/>
      <c r="S223" s="47"/>
      <c r="T223" s="47"/>
      <c r="U223" s="47"/>
      <c r="V223" s="47"/>
      <c r="W223" s="47"/>
      <c r="X223" s="47"/>
      <c r="Y223" s="47"/>
      <c r="Z223" s="14"/>
    </row>
    <row r="224" spans="1:26" x14ac:dyDescent="0.25">
      <c r="A224" s="76">
        <v>217</v>
      </c>
      <c r="B224" s="76"/>
      <c r="C224" s="76"/>
      <c r="D224" s="76"/>
      <c r="E224" s="14"/>
      <c r="F224" s="1" t="str">
        <f>Assembler!M219</f>
        <v/>
      </c>
      <c r="G224" s="9">
        <f t="shared" si="17"/>
        <v>0</v>
      </c>
      <c r="H224" s="9" t="str">
        <f t="shared" si="18"/>
        <v>0</v>
      </c>
      <c r="I224" s="9" t="str">
        <f t="shared" si="19"/>
        <v>0</v>
      </c>
      <c r="J224" s="6">
        <f t="shared" si="20"/>
        <v>0</v>
      </c>
      <c r="K224" s="6">
        <f t="shared" si="21"/>
        <v>0</v>
      </c>
      <c r="L224" s="47"/>
      <c r="M224" s="47"/>
      <c r="N224" s="82"/>
      <c r="O224" s="82"/>
      <c r="P224" s="82"/>
      <c r="Q224" s="47"/>
      <c r="R224" s="47"/>
      <c r="S224" s="47"/>
      <c r="T224" s="47"/>
      <c r="U224" s="47"/>
      <c r="V224" s="47"/>
      <c r="W224" s="47"/>
      <c r="X224" s="47"/>
      <c r="Y224" s="47"/>
      <c r="Z224" s="14"/>
    </row>
    <row r="225" spans="1:26" x14ac:dyDescent="0.25">
      <c r="A225" s="76">
        <v>218</v>
      </c>
      <c r="B225" s="76"/>
      <c r="C225" s="76"/>
      <c r="D225" s="76"/>
      <c r="E225" s="14"/>
      <c r="F225" s="1" t="str">
        <f>Assembler!M220</f>
        <v/>
      </c>
      <c r="G225" s="9">
        <f t="shared" si="17"/>
        <v>0</v>
      </c>
      <c r="H225" s="9" t="str">
        <f t="shared" si="18"/>
        <v>0</v>
      </c>
      <c r="I225" s="9" t="str">
        <f t="shared" si="19"/>
        <v>0</v>
      </c>
      <c r="J225" s="6">
        <f t="shared" si="20"/>
        <v>0</v>
      </c>
      <c r="K225" s="6">
        <f t="shared" si="21"/>
        <v>0</v>
      </c>
      <c r="L225" s="47"/>
      <c r="M225" s="47"/>
      <c r="N225" s="82"/>
      <c r="O225" s="82"/>
      <c r="P225" s="82"/>
      <c r="Q225" s="47"/>
      <c r="R225" s="47"/>
      <c r="S225" s="47"/>
      <c r="T225" s="47"/>
      <c r="U225" s="47"/>
      <c r="V225" s="47"/>
      <c r="W225" s="47"/>
      <c r="X225" s="47"/>
      <c r="Y225" s="47"/>
      <c r="Z225" s="14"/>
    </row>
    <row r="226" spans="1:26" x14ac:dyDescent="0.25">
      <c r="A226" s="76">
        <v>219</v>
      </c>
      <c r="B226" s="76"/>
      <c r="C226" s="76"/>
      <c r="D226" s="76"/>
      <c r="E226" s="14"/>
      <c r="F226" s="1" t="str">
        <f>Assembler!M221</f>
        <v/>
      </c>
      <c r="G226" s="9">
        <f t="shared" si="17"/>
        <v>0</v>
      </c>
      <c r="H226" s="9" t="str">
        <f t="shared" si="18"/>
        <v>0</v>
      </c>
      <c r="I226" s="9" t="str">
        <f t="shared" si="19"/>
        <v>0</v>
      </c>
      <c r="J226" s="6">
        <f t="shared" si="20"/>
        <v>0</v>
      </c>
      <c r="K226" s="6">
        <f t="shared" si="21"/>
        <v>0</v>
      </c>
      <c r="L226" s="47"/>
      <c r="M226" s="47"/>
      <c r="N226" s="82"/>
      <c r="O226" s="82"/>
      <c r="P226" s="82"/>
      <c r="Q226" s="47"/>
      <c r="R226" s="47"/>
      <c r="S226" s="47"/>
      <c r="T226" s="47"/>
      <c r="U226" s="47"/>
      <c r="V226" s="47"/>
      <c r="W226" s="47"/>
      <c r="X226" s="47"/>
      <c r="Y226" s="47"/>
      <c r="Z226" s="14"/>
    </row>
    <row r="227" spans="1:26" x14ac:dyDescent="0.25">
      <c r="A227" s="76">
        <v>220</v>
      </c>
      <c r="B227" s="76"/>
      <c r="C227" s="76"/>
      <c r="D227" s="76"/>
      <c r="E227" s="14"/>
      <c r="F227" s="1" t="str">
        <f>Assembler!M222</f>
        <v/>
      </c>
      <c r="G227" s="9">
        <f t="shared" si="17"/>
        <v>0</v>
      </c>
      <c r="H227" s="9" t="str">
        <f t="shared" si="18"/>
        <v>0</v>
      </c>
      <c r="I227" s="9" t="str">
        <f t="shared" si="19"/>
        <v>0</v>
      </c>
      <c r="J227" s="6">
        <f t="shared" si="20"/>
        <v>0</v>
      </c>
      <c r="K227" s="6">
        <f t="shared" si="21"/>
        <v>0</v>
      </c>
      <c r="L227" s="47"/>
      <c r="M227" s="47"/>
      <c r="N227" s="82"/>
      <c r="O227" s="82"/>
      <c r="P227" s="82"/>
      <c r="Q227" s="47"/>
      <c r="R227" s="47"/>
      <c r="S227" s="47"/>
      <c r="T227" s="47"/>
      <c r="U227" s="47"/>
      <c r="V227" s="47"/>
      <c r="W227" s="47"/>
      <c r="X227" s="47"/>
      <c r="Y227" s="47"/>
      <c r="Z227" s="14"/>
    </row>
    <row r="228" spans="1:26" x14ac:dyDescent="0.25">
      <c r="A228" s="76">
        <v>221</v>
      </c>
      <c r="B228" s="76"/>
      <c r="C228" s="76"/>
      <c r="D228" s="76"/>
      <c r="E228" s="14"/>
      <c r="F228" s="1" t="str">
        <f>Assembler!M223</f>
        <v/>
      </c>
      <c r="G228" s="9">
        <f t="shared" si="17"/>
        <v>0</v>
      </c>
      <c r="H228" s="9" t="str">
        <f t="shared" si="18"/>
        <v>0</v>
      </c>
      <c r="I228" s="9" t="str">
        <f t="shared" si="19"/>
        <v>0</v>
      </c>
      <c r="J228" s="6">
        <f t="shared" si="20"/>
        <v>0</v>
      </c>
      <c r="K228" s="6">
        <f t="shared" si="21"/>
        <v>0</v>
      </c>
      <c r="L228" s="47"/>
      <c r="M228" s="47"/>
      <c r="N228" s="82"/>
      <c r="O228" s="82"/>
      <c r="P228" s="82"/>
      <c r="Q228" s="47"/>
      <c r="R228" s="47"/>
      <c r="S228" s="47"/>
      <c r="T228" s="47"/>
      <c r="U228" s="47"/>
      <c r="V228" s="47"/>
      <c r="W228" s="47"/>
      <c r="X228" s="47"/>
      <c r="Y228" s="47"/>
      <c r="Z228" s="14"/>
    </row>
    <row r="229" spans="1:26" x14ac:dyDescent="0.25">
      <c r="A229" s="76">
        <v>222</v>
      </c>
      <c r="B229" s="76"/>
      <c r="C229" s="76"/>
      <c r="D229" s="76"/>
      <c r="E229" s="14"/>
      <c r="F229" s="1" t="str">
        <f>Assembler!M224</f>
        <v/>
      </c>
      <c r="G229" s="9">
        <f t="shared" si="17"/>
        <v>0</v>
      </c>
      <c r="H229" s="9" t="str">
        <f t="shared" si="18"/>
        <v>0</v>
      </c>
      <c r="I229" s="9" t="str">
        <f t="shared" si="19"/>
        <v>0</v>
      </c>
      <c r="J229" s="6">
        <f t="shared" si="20"/>
        <v>0</v>
      </c>
      <c r="K229" s="6">
        <f t="shared" si="21"/>
        <v>0</v>
      </c>
      <c r="L229" s="47"/>
      <c r="M229" s="47"/>
      <c r="N229" s="82"/>
      <c r="O229" s="82"/>
      <c r="P229" s="82"/>
      <c r="Q229" s="47"/>
      <c r="R229" s="47"/>
      <c r="S229" s="47"/>
      <c r="T229" s="47"/>
      <c r="U229" s="47"/>
      <c r="V229" s="47"/>
      <c r="W229" s="47"/>
      <c r="X229" s="47"/>
      <c r="Y229" s="47"/>
      <c r="Z229" s="14"/>
    </row>
    <row r="230" spans="1:26" x14ac:dyDescent="0.25">
      <c r="A230" s="76">
        <v>223</v>
      </c>
      <c r="B230" s="76"/>
      <c r="C230" s="76"/>
      <c r="D230" s="76"/>
      <c r="E230" s="14"/>
      <c r="F230" s="1" t="str">
        <f>Assembler!M225</f>
        <v/>
      </c>
      <c r="G230" s="9">
        <f t="shared" si="17"/>
        <v>0</v>
      </c>
      <c r="H230" s="9" t="str">
        <f t="shared" si="18"/>
        <v>0</v>
      </c>
      <c r="I230" s="9" t="str">
        <f t="shared" si="19"/>
        <v>0</v>
      </c>
      <c r="J230" s="6">
        <f t="shared" si="20"/>
        <v>0</v>
      </c>
      <c r="K230" s="6">
        <f t="shared" si="21"/>
        <v>0</v>
      </c>
      <c r="L230" s="47"/>
      <c r="M230" s="47"/>
      <c r="N230" s="82"/>
      <c r="O230" s="82"/>
      <c r="P230" s="82"/>
      <c r="Q230" s="47"/>
      <c r="R230" s="47"/>
      <c r="S230" s="47"/>
      <c r="T230" s="47"/>
      <c r="U230" s="47"/>
      <c r="V230" s="47"/>
      <c r="W230" s="47"/>
      <c r="X230" s="47"/>
      <c r="Y230" s="47"/>
      <c r="Z230" s="14"/>
    </row>
    <row r="231" spans="1:26" x14ac:dyDescent="0.25">
      <c r="A231" s="76">
        <v>224</v>
      </c>
      <c r="B231" s="76"/>
      <c r="C231" s="76"/>
      <c r="D231" s="76"/>
      <c r="E231" s="14"/>
      <c r="F231" s="1" t="str">
        <f>Assembler!M226</f>
        <v/>
      </c>
      <c r="G231" s="9">
        <f t="shared" si="17"/>
        <v>0</v>
      </c>
      <c r="H231" s="9" t="str">
        <f t="shared" si="18"/>
        <v>0</v>
      </c>
      <c r="I231" s="9" t="str">
        <f t="shared" si="19"/>
        <v>0</v>
      </c>
      <c r="J231" s="6">
        <f t="shared" si="20"/>
        <v>0</v>
      </c>
      <c r="K231" s="6">
        <f t="shared" si="21"/>
        <v>0</v>
      </c>
      <c r="L231" s="47"/>
      <c r="M231" s="47"/>
      <c r="N231" s="82"/>
      <c r="O231" s="82"/>
      <c r="P231" s="82"/>
      <c r="Q231" s="47"/>
      <c r="R231" s="47"/>
      <c r="S231" s="47"/>
      <c r="T231" s="47"/>
      <c r="U231" s="47"/>
      <c r="V231" s="47"/>
      <c r="W231" s="47"/>
      <c r="X231" s="47"/>
      <c r="Y231" s="47"/>
      <c r="Z231" s="14"/>
    </row>
    <row r="232" spans="1:26" x14ac:dyDescent="0.25">
      <c r="A232" s="76">
        <v>225</v>
      </c>
      <c r="B232" s="76"/>
      <c r="C232" s="76"/>
      <c r="D232" s="76"/>
      <c r="E232" s="14"/>
      <c r="F232" s="1" t="str">
        <f>Assembler!M227</f>
        <v/>
      </c>
      <c r="G232" s="9">
        <f t="shared" si="17"/>
        <v>0</v>
      </c>
      <c r="H232" s="9" t="str">
        <f t="shared" si="18"/>
        <v>0</v>
      </c>
      <c r="I232" s="9" t="str">
        <f t="shared" si="19"/>
        <v>0</v>
      </c>
      <c r="J232" s="6">
        <f t="shared" si="20"/>
        <v>0</v>
      </c>
      <c r="K232" s="6">
        <f t="shared" si="21"/>
        <v>0</v>
      </c>
      <c r="L232" s="47"/>
      <c r="M232" s="47"/>
      <c r="N232" s="82"/>
      <c r="O232" s="82"/>
      <c r="P232" s="82"/>
      <c r="Q232" s="47"/>
      <c r="R232" s="47"/>
      <c r="S232" s="47"/>
      <c r="T232" s="47"/>
      <c r="U232" s="47"/>
      <c r="V232" s="47"/>
      <c r="W232" s="47"/>
      <c r="X232" s="47"/>
      <c r="Y232" s="47"/>
      <c r="Z232" s="14"/>
    </row>
    <row r="233" spans="1:26" x14ac:dyDescent="0.25">
      <c r="A233" s="76">
        <v>226</v>
      </c>
      <c r="B233" s="76"/>
      <c r="C233" s="76"/>
      <c r="D233" s="76"/>
      <c r="E233" s="14"/>
      <c r="F233" s="1" t="str">
        <f>Assembler!M228</f>
        <v/>
      </c>
      <c r="G233" s="9">
        <f t="shared" si="17"/>
        <v>0</v>
      </c>
      <c r="H233" s="9" t="str">
        <f t="shared" si="18"/>
        <v>0</v>
      </c>
      <c r="I233" s="9" t="str">
        <f t="shared" si="19"/>
        <v>0</v>
      </c>
      <c r="J233" s="6">
        <f t="shared" si="20"/>
        <v>0</v>
      </c>
      <c r="K233" s="6">
        <f t="shared" si="21"/>
        <v>0</v>
      </c>
      <c r="L233" s="47"/>
      <c r="M233" s="47"/>
      <c r="N233" s="82"/>
      <c r="O233" s="82"/>
      <c r="P233" s="82"/>
      <c r="Q233" s="47"/>
      <c r="R233" s="47"/>
      <c r="S233" s="47"/>
      <c r="T233" s="47"/>
      <c r="U233" s="47"/>
      <c r="V233" s="47"/>
      <c r="W233" s="47"/>
      <c r="X233" s="47"/>
      <c r="Y233" s="47"/>
      <c r="Z233" s="14"/>
    </row>
    <row r="234" spans="1:26" x14ac:dyDescent="0.25">
      <c r="A234" s="76">
        <v>227</v>
      </c>
      <c r="B234" s="76"/>
      <c r="C234" s="76"/>
      <c r="D234" s="76"/>
      <c r="E234" s="14"/>
      <c r="F234" s="1" t="str">
        <f>Assembler!M229</f>
        <v/>
      </c>
      <c r="G234" s="9">
        <f t="shared" si="17"/>
        <v>0</v>
      </c>
      <c r="H234" s="9" t="str">
        <f t="shared" si="18"/>
        <v>0</v>
      </c>
      <c r="I234" s="9" t="str">
        <f t="shared" si="19"/>
        <v>0</v>
      </c>
      <c r="J234" s="6">
        <f t="shared" si="20"/>
        <v>0</v>
      </c>
      <c r="K234" s="6">
        <f t="shared" si="21"/>
        <v>0</v>
      </c>
      <c r="L234" s="47"/>
      <c r="M234" s="47"/>
      <c r="N234" s="82"/>
      <c r="O234" s="82"/>
      <c r="P234" s="82"/>
      <c r="Q234" s="47"/>
      <c r="R234" s="47"/>
      <c r="S234" s="47"/>
      <c r="T234" s="47"/>
      <c r="U234" s="47"/>
      <c r="V234" s="47"/>
      <c r="W234" s="47"/>
      <c r="X234" s="47"/>
      <c r="Y234" s="47"/>
      <c r="Z234" s="14"/>
    </row>
    <row r="235" spans="1:26" x14ac:dyDescent="0.25">
      <c r="A235" s="76">
        <v>228</v>
      </c>
      <c r="B235" s="76"/>
      <c r="C235" s="76"/>
      <c r="D235" s="76"/>
      <c r="E235" s="14"/>
      <c r="F235" s="1" t="str">
        <f>Assembler!M230</f>
        <v/>
      </c>
      <c r="G235" s="9">
        <f t="shared" si="17"/>
        <v>0</v>
      </c>
      <c r="H235" s="9" t="str">
        <f t="shared" si="18"/>
        <v>0</v>
      </c>
      <c r="I235" s="9" t="str">
        <f t="shared" si="19"/>
        <v>0</v>
      </c>
      <c r="J235" s="6">
        <f t="shared" si="20"/>
        <v>0</v>
      </c>
      <c r="K235" s="6">
        <f t="shared" si="21"/>
        <v>0</v>
      </c>
      <c r="L235" s="47"/>
      <c r="M235" s="47"/>
      <c r="N235" s="82"/>
      <c r="O235" s="82"/>
      <c r="P235" s="82"/>
      <c r="Q235" s="47"/>
      <c r="R235" s="47"/>
      <c r="S235" s="47"/>
      <c r="T235" s="47"/>
      <c r="U235" s="47"/>
      <c r="V235" s="47"/>
      <c r="W235" s="47"/>
      <c r="X235" s="47"/>
      <c r="Y235" s="47"/>
      <c r="Z235" s="14"/>
    </row>
    <row r="236" spans="1:26" x14ac:dyDescent="0.25">
      <c r="A236" s="76">
        <v>229</v>
      </c>
      <c r="B236" s="76"/>
      <c r="C236" s="76"/>
      <c r="D236" s="76"/>
      <c r="E236" s="14"/>
      <c r="F236" s="1" t="str">
        <f>Assembler!M231</f>
        <v/>
      </c>
      <c r="G236" s="9">
        <f t="shared" si="17"/>
        <v>0</v>
      </c>
      <c r="H236" s="9" t="str">
        <f t="shared" si="18"/>
        <v>0</v>
      </c>
      <c r="I236" s="9" t="str">
        <f t="shared" si="19"/>
        <v>0</v>
      </c>
      <c r="J236" s="6">
        <f t="shared" si="20"/>
        <v>0</v>
      </c>
      <c r="K236" s="6">
        <f t="shared" si="21"/>
        <v>0</v>
      </c>
      <c r="L236" s="47"/>
      <c r="M236" s="47"/>
      <c r="N236" s="82"/>
      <c r="O236" s="82"/>
      <c r="P236" s="82"/>
      <c r="Q236" s="47"/>
      <c r="R236" s="47"/>
      <c r="S236" s="47"/>
      <c r="T236" s="47"/>
      <c r="U236" s="47"/>
      <c r="V236" s="47"/>
      <c r="W236" s="47"/>
      <c r="X236" s="47"/>
      <c r="Y236" s="47"/>
      <c r="Z236" s="14"/>
    </row>
    <row r="237" spans="1:26" x14ac:dyDescent="0.25">
      <c r="A237" s="76">
        <v>230</v>
      </c>
      <c r="B237" s="76"/>
      <c r="C237" s="76"/>
      <c r="D237" s="76"/>
      <c r="E237" s="14"/>
      <c r="F237" s="1" t="str">
        <f>Assembler!M232</f>
        <v/>
      </c>
      <c r="G237" s="9">
        <f t="shared" si="17"/>
        <v>0</v>
      </c>
      <c r="H237" s="9" t="str">
        <f t="shared" si="18"/>
        <v>0</v>
      </c>
      <c r="I237" s="9" t="str">
        <f t="shared" si="19"/>
        <v>0</v>
      </c>
      <c r="J237" s="6">
        <f t="shared" si="20"/>
        <v>0</v>
      </c>
      <c r="K237" s="6">
        <f t="shared" si="21"/>
        <v>0</v>
      </c>
      <c r="L237" s="47"/>
      <c r="M237" s="47"/>
      <c r="N237" s="82"/>
      <c r="O237" s="82"/>
      <c r="P237" s="82"/>
      <c r="Q237" s="47"/>
      <c r="R237" s="47"/>
      <c r="S237" s="47"/>
      <c r="T237" s="47"/>
      <c r="U237" s="47"/>
      <c r="V237" s="47"/>
      <c r="W237" s="47"/>
      <c r="X237" s="47"/>
      <c r="Y237" s="47"/>
      <c r="Z237" s="14"/>
    </row>
    <row r="238" spans="1:26" x14ac:dyDescent="0.25">
      <c r="A238" s="76">
        <v>231</v>
      </c>
      <c r="B238" s="76"/>
      <c r="C238" s="76"/>
      <c r="D238" s="76"/>
      <c r="E238" s="14"/>
      <c r="F238" s="1" t="str">
        <f>Assembler!M233</f>
        <v/>
      </c>
      <c r="G238" s="9">
        <f t="shared" si="17"/>
        <v>0</v>
      </c>
      <c r="H238" s="9" t="str">
        <f t="shared" si="18"/>
        <v>0</v>
      </c>
      <c r="I238" s="9" t="str">
        <f t="shared" si="19"/>
        <v>0</v>
      </c>
      <c r="J238" s="6">
        <f t="shared" si="20"/>
        <v>0</v>
      </c>
      <c r="K238" s="6">
        <f t="shared" si="21"/>
        <v>0</v>
      </c>
      <c r="L238" s="47"/>
      <c r="M238" s="47"/>
      <c r="N238" s="82"/>
      <c r="O238" s="82"/>
      <c r="P238" s="82"/>
      <c r="Q238" s="47"/>
      <c r="R238" s="47"/>
      <c r="S238" s="47"/>
      <c r="T238" s="47"/>
      <c r="U238" s="47"/>
      <c r="V238" s="47"/>
      <c r="W238" s="47"/>
      <c r="X238" s="47"/>
      <c r="Y238" s="47"/>
      <c r="Z238" s="14"/>
    </row>
    <row r="239" spans="1:26" x14ac:dyDescent="0.25">
      <c r="A239" s="76">
        <v>232</v>
      </c>
      <c r="B239" s="76"/>
      <c r="C239" s="76"/>
      <c r="D239" s="76"/>
      <c r="E239" s="14"/>
      <c r="F239" s="1" t="str">
        <f>Assembler!M234</f>
        <v/>
      </c>
      <c r="G239" s="9">
        <f t="shared" si="17"/>
        <v>0</v>
      </c>
      <c r="H239" s="9" t="str">
        <f t="shared" si="18"/>
        <v>0</v>
      </c>
      <c r="I239" s="9" t="str">
        <f t="shared" si="19"/>
        <v>0</v>
      </c>
      <c r="J239" s="6">
        <f t="shared" si="20"/>
        <v>0</v>
      </c>
      <c r="K239" s="6">
        <f t="shared" si="21"/>
        <v>0</v>
      </c>
      <c r="L239" s="47"/>
      <c r="M239" s="47"/>
      <c r="N239" s="82"/>
      <c r="O239" s="82"/>
      <c r="P239" s="82"/>
      <c r="Q239" s="47"/>
      <c r="R239" s="47"/>
      <c r="S239" s="47"/>
      <c r="T239" s="47"/>
      <c r="U239" s="47"/>
      <c r="V239" s="47"/>
      <c r="W239" s="47"/>
      <c r="X239" s="47"/>
      <c r="Y239" s="47"/>
      <c r="Z239" s="14"/>
    </row>
    <row r="240" spans="1:26" x14ac:dyDescent="0.25">
      <c r="A240" s="76">
        <v>233</v>
      </c>
      <c r="B240" s="76"/>
      <c r="C240" s="76"/>
      <c r="D240" s="76"/>
      <c r="E240" s="14"/>
      <c r="F240" s="1" t="str">
        <f>Assembler!M235</f>
        <v/>
      </c>
      <c r="G240" s="9">
        <f t="shared" si="17"/>
        <v>0</v>
      </c>
      <c r="H240" s="9" t="str">
        <f t="shared" si="18"/>
        <v>0</v>
      </c>
      <c r="I240" s="9" t="str">
        <f t="shared" si="19"/>
        <v>0</v>
      </c>
      <c r="J240" s="6">
        <f t="shared" si="20"/>
        <v>0</v>
      </c>
      <c r="K240" s="6">
        <f t="shared" si="21"/>
        <v>0</v>
      </c>
      <c r="L240" s="47"/>
      <c r="M240" s="47"/>
      <c r="N240" s="82"/>
      <c r="O240" s="82"/>
      <c r="P240" s="82"/>
      <c r="Q240" s="47"/>
      <c r="R240" s="47"/>
      <c r="S240" s="47"/>
      <c r="T240" s="47"/>
      <c r="U240" s="47"/>
      <c r="V240" s="47"/>
      <c r="W240" s="47"/>
      <c r="X240" s="47"/>
      <c r="Y240" s="47"/>
      <c r="Z240" s="14"/>
    </row>
    <row r="241" spans="1:26" x14ac:dyDescent="0.25">
      <c r="A241" s="76">
        <v>234</v>
      </c>
      <c r="B241" s="76"/>
      <c r="C241" s="76"/>
      <c r="D241" s="76"/>
      <c r="E241" s="14"/>
      <c r="F241" s="1" t="str">
        <f>Assembler!M236</f>
        <v/>
      </c>
      <c r="G241" s="9">
        <f t="shared" si="17"/>
        <v>0</v>
      </c>
      <c r="H241" s="9" t="str">
        <f t="shared" si="18"/>
        <v>0</v>
      </c>
      <c r="I241" s="9" t="str">
        <f t="shared" si="19"/>
        <v>0</v>
      </c>
      <c r="J241" s="6">
        <f t="shared" si="20"/>
        <v>0</v>
      </c>
      <c r="K241" s="6">
        <f t="shared" si="21"/>
        <v>0</v>
      </c>
      <c r="L241" s="47"/>
      <c r="M241" s="47"/>
      <c r="N241" s="82"/>
      <c r="O241" s="82"/>
      <c r="P241" s="82"/>
      <c r="Q241" s="47"/>
      <c r="R241" s="47"/>
      <c r="S241" s="47"/>
      <c r="T241" s="47"/>
      <c r="U241" s="47"/>
      <c r="V241" s="47"/>
      <c r="W241" s="47"/>
      <c r="X241" s="47"/>
      <c r="Y241" s="47"/>
      <c r="Z241" s="14"/>
    </row>
    <row r="242" spans="1:26" x14ac:dyDescent="0.25">
      <c r="A242" s="76">
        <v>235</v>
      </c>
      <c r="B242" s="76"/>
      <c r="C242" s="76"/>
      <c r="D242" s="76"/>
      <c r="E242" s="14"/>
      <c r="F242" s="1" t="str">
        <f>Assembler!M237</f>
        <v/>
      </c>
      <c r="G242" s="9">
        <f t="shared" si="17"/>
        <v>0</v>
      </c>
      <c r="H242" s="9" t="str">
        <f t="shared" si="18"/>
        <v>0</v>
      </c>
      <c r="I242" s="9" t="str">
        <f t="shared" si="19"/>
        <v>0</v>
      </c>
      <c r="J242" s="6">
        <f t="shared" si="20"/>
        <v>0</v>
      </c>
      <c r="K242" s="6">
        <f t="shared" si="21"/>
        <v>0</v>
      </c>
      <c r="L242" s="47"/>
      <c r="M242" s="47"/>
      <c r="N242" s="82"/>
      <c r="O242" s="82"/>
      <c r="P242" s="82"/>
      <c r="Q242" s="47"/>
      <c r="R242" s="47"/>
      <c r="S242" s="47"/>
      <c r="T242" s="47"/>
      <c r="U242" s="47"/>
      <c r="V242" s="47"/>
      <c r="W242" s="47"/>
      <c r="X242" s="47"/>
      <c r="Y242" s="47"/>
      <c r="Z242" s="14"/>
    </row>
    <row r="243" spans="1:26" x14ac:dyDescent="0.25">
      <c r="A243" s="76">
        <v>236</v>
      </c>
      <c r="B243" s="76"/>
      <c r="C243" s="76"/>
      <c r="D243" s="76"/>
      <c r="E243" s="14"/>
      <c r="F243" s="1" t="str">
        <f>Assembler!M238</f>
        <v/>
      </c>
      <c r="G243" s="9">
        <f t="shared" si="17"/>
        <v>0</v>
      </c>
      <c r="H243" s="9" t="str">
        <f t="shared" si="18"/>
        <v>0</v>
      </c>
      <c r="I243" s="9" t="str">
        <f t="shared" si="19"/>
        <v>0</v>
      </c>
      <c r="J243" s="6">
        <f t="shared" si="20"/>
        <v>0</v>
      </c>
      <c r="K243" s="6">
        <f t="shared" si="21"/>
        <v>0</v>
      </c>
      <c r="L243" s="47"/>
      <c r="M243" s="47"/>
      <c r="N243" s="82"/>
      <c r="O243" s="82"/>
      <c r="P243" s="82"/>
      <c r="Q243" s="47"/>
      <c r="R243" s="47"/>
      <c r="S243" s="47"/>
      <c r="T243" s="47"/>
      <c r="U243" s="47"/>
      <c r="V243" s="47"/>
      <c r="W243" s="47"/>
      <c r="X243" s="47"/>
      <c r="Y243" s="47"/>
      <c r="Z243" s="14"/>
    </row>
    <row r="244" spans="1:26" x14ac:dyDescent="0.25">
      <c r="A244" s="76">
        <v>237</v>
      </c>
      <c r="B244" s="76"/>
      <c r="C244" s="76"/>
      <c r="D244" s="76"/>
      <c r="E244" s="14"/>
      <c r="F244" s="1" t="str">
        <f>Assembler!M239</f>
        <v/>
      </c>
      <c r="G244" s="9">
        <f t="shared" si="17"/>
        <v>0</v>
      </c>
      <c r="H244" s="9" t="str">
        <f t="shared" si="18"/>
        <v>0</v>
      </c>
      <c r="I244" s="9" t="str">
        <f t="shared" si="19"/>
        <v>0</v>
      </c>
      <c r="J244" s="6">
        <f t="shared" si="20"/>
        <v>0</v>
      </c>
      <c r="K244" s="6">
        <f t="shared" si="21"/>
        <v>0</v>
      </c>
      <c r="L244" s="47"/>
      <c r="M244" s="47"/>
      <c r="N244" s="82"/>
      <c r="O244" s="82"/>
      <c r="P244" s="82"/>
      <c r="Q244" s="47"/>
      <c r="R244" s="47"/>
      <c r="S244" s="47"/>
      <c r="T244" s="47"/>
      <c r="U244" s="47"/>
      <c r="V244" s="47"/>
      <c r="W244" s="47"/>
      <c r="X244" s="47"/>
      <c r="Y244" s="47"/>
      <c r="Z244" s="14"/>
    </row>
    <row r="245" spans="1:26" x14ac:dyDescent="0.25">
      <c r="A245" s="76">
        <v>238</v>
      </c>
      <c r="B245" s="76"/>
      <c r="C245" s="76"/>
      <c r="D245" s="76"/>
      <c r="E245" s="14"/>
      <c r="F245" s="1" t="str">
        <f>Assembler!M240</f>
        <v/>
      </c>
      <c r="G245" s="9">
        <f t="shared" si="17"/>
        <v>0</v>
      </c>
      <c r="H245" s="9" t="str">
        <f t="shared" si="18"/>
        <v>0</v>
      </c>
      <c r="I245" s="9" t="str">
        <f t="shared" si="19"/>
        <v>0</v>
      </c>
      <c r="J245" s="6">
        <f t="shared" si="20"/>
        <v>0</v>
      </c>
      <c r="K245" s="6">
        <f t="shared" si="21"/>
        <v>0</v>
      </c>
      <c r="L245" s="47"/>
      <c r="M245" s="47"/>
      <c r="N245" s="82"/>
      <c r="O245" s="82"/>
      <c r="P245" s="82"/>
      <c r="Q245" s="47"/>
      <c r="R245" s="47"/>
      <c r="S245" s="47"/>
      <c r="T245" s="47"/>
      <c r="U245" s="47"/>
      <c r="V245" s="47"/>
      <c r="W245" s="47"/>
      <c r="X245" s="47"/>
      <c r="Y245" s="47"/>
      <c r="Z245" s="14"/>
    </row>
    <row r="246" spans="1:26" x14ac:dyDescent="0.25">
      <c r="A246" s="76">
        <v>239</v>
      </c>
      <c r="B246" s="76"/>
      <c r="C246" s="76"/>
      <c r="D246" s="76"/>
      <c r="E246" s="14"/>
      <c r="F246" s="1" t="str">
        <f>Assembler!M241</f>
        <v/>
      </c>
      <c r="G246" s="9">
        <f t="shared" si="17"/>
        <v>0</v>
      </c>
      <c r="H246" s="9" t="str">
        <f t="shared" si="18"/>
        <v>0</v>
      </c>
      <c r="I246" s="9" t="str">
        <f t="shared" si="19"/>
        <v>0</v>
      </c>
      <c r="J246" s="6">
        <f t="shared" si="20"/>
        <v>0</v>
      </c>
      <c r="K246" s="6">
        <f t="shared" si="21"/>
        <v>0</v>
      </c>
      <c r="L246" s="47"/>
      <c r="M246" s="47"/>
      <c r="N246" s="82"/>
      <c r="O246" s="82"/>
      <c r="P246" s="82"/>
      <c r="Q246" s="47"/>
      <c r="R246" s="47"/>
      <c r="S246" s="47"/>
      <c r="T246" s="47"/>
      <c r="U246" s="47"/>
      <c r="V246" s="47"/>
      <c r="W246" s="47"/>
      <c r="X246" s="47"/>
      <c r="Y246" s="47"/>
      <c r="Z246" s="14"/>
    </row>
    <row r="247" spans="1:26" x14ac:dyDescent="0.25">
      <c r="A247" s="76">
        <v>240</v>
      </c>
      <c r="B247" s="76"/>
      <c r="C247" s="76"/>
      <c r="D247" s="76"/>
      <c r="E247" s="14"/>
      <c r="F247" s="1" t="str">
        <f>Assembler!M242</f>
        <v/>
      </c>
      <c r="G247" s="9">
        <f t="shared" si="17"/>
        <v>0</v>
      </c>
      <c r="H247" s="9" t="str">
        <f t="shared" si="18"/>
        <v>0</v>
      </c>
      <c r="I247" s="9" t="str">
        <f t="shared" si="19"/>
        <v>0</v>
      </c>
      <c r="J247" s="6">
        <f t="shared" si="20"/>
        <v>0</v>
      </c>
      <c r="K247" s="6">
        <f t="shared" si="21"/>
        <v>0</v>
      </c>
      <c r="L247" s="47"/>
      <c r="M247" s="47"/>
      <c r="N247" s="82"/>
      <c r="O247" s="82"/>
      <c r="P247" s="82"/>
      <c r="Q247" s="47"/>
      <c r="R247" s="47"/>
      <c r="S247" s="47"/>
      <c r="T247" s="47"/>
      <c r="U247" s="47"/>
      <c r="V247" s="47"/>
      <c r="W247" s="47"/>
      <c r="X247" s="47"/>
      <c r="Y247" s="47"/>
      <c r="Z247" s="14"/>
    </row>
    <row r="248" spans="1:26" x14ac:dyDescent="0.25">
      <c r="A248" s="76">
        <v>241</v>
      </c>
      <c r="B248" s="76"/>
      <c r="C248" s="76"/>
      <c r="D248" s="76"/>
      <c r="E248" s="14"/>
      <c r="F248" s="1" t="str">
        <f>Assembler!M243</f>
        <v/>
      </c>
      <c r="G248" s="9">
        <f t="shared" si="17"/>
        <v>0</v>
      </c>
      <c r="H248" s="9" t="str">
        <f t="shared" si="18"/>
        <v>0</v>
      </c>
      <c r="I248" s="9" t="str">
        <f t="shared" si="19"/>
        <v>0</v>
      </c>
      <c r="J248" s="6">
        <f t="shared" si="20"/>
        <v>0</v>
      </c>
      <c r="K248" s="6">
        <f t="shared" si="21"/>
        <v>0</v>
      </c>
      <c r="L248" s="47"/>
      <c r="M248" s="47"/>
      <c r="N248" s="82"/>
      <c r="O248" s="82"/>
      <c r="P248" s="82"/>
      <c r="Q248" s="47"/>
      <c r="R248" s="47"/>
      <c r="S248" s="47"/>
      <c r="T248" s="47"/>
      <c r="U248" s="47"/>
      <c r="V248" s="47"/>
      <c r="W248" s="47"/>
      <c r="X248" s="47"/>
      <c r="Y248" s="47"/>
      <c r="Z248" s="14"/>
    </row>
    <row r="249" spans="1:26" x14ac:dyDescent="0.25">
      <c r="A249" s="76">
        <v>242</v>
      </c>
      <c r="B249" s="76"/>
      <c r="C249" s="76"/>
      <c r="D249" s="76"/>
      <c r="E249" s="14"/>
      <c r="F249" s="1" t="str">
        <f>Assembler!M244</f>
        <v/>
      </c>
      <c r="G249" s="9">
        <f t="shared" si="17"/>
        <v>0</v>
      </c>
      <c r="H249" s="9" t="str">
        <f t="shared" si="18"/>
        <v>0</v>
      </c>
      <c r="I249" s="9" t="str">
        <f t="shared" si="19"/>
        <v>0</v>
      </c>
      <c r="J249" s="6">
        <f t="shared" si="20"/>
        <v>0</v>
      </c>
      <c r="K249" s="6">
        <f t="shared" si="21"/>
        <v>0</v>
      </c>
      <c r="L249" s="47"/>
      <c r="M249" s="47"/>
      <c r="N249" s="82"/>
      <c r="O249" s="82"/>
      <c r="P249" s="82"/>
      <c r="Q249" s="47"/>
      <c r="R249" s="47"/>
      <c r="S249" s="47"/>
      <c r="T249" s="47"/>
      <c r="U249" s="47"/>
      <c r="V249" s="47"/>
      <c r="W249" s="47"/>
      <c r="X249" s="47"/>
      <c r="Y249" s="47"/>
      <c r="Z249" s="14"/>
    </row>
    <row r="250" spans="1:26" x14ac:dyDescent="0.25">
      <c r="A250" s="76">
        <v>243</v>
      </c>
      <c r="B250" s="76"/>
      <c r="C250" s="76"/>
      <c r="D250" s="76"/>
      <c r="E250" s="14"/>
      <c r="F250" s="1" t="str">
        <f>Assembler!M245</f>
        <v/>
      </c>
      <c r="G250" s="9">
        <f t="shared" si="17"/>
        <v>0</v>
      </c>
      <c r="H250" s="9" t="str">
        <f t="shared" si="18"/>
        <v>0</v>
      </c>
      <c r="I250" s="9" t="str">
        <f t="shared" si="19"/>
        <v>0</v>
      </c>
      <c r="J250" s="6">
        <f t="shared" si="20"/>
        <v>0</v>
      </c>
      <c r="K250" s="6">
        <f t="shared" si="21"/>
        <v>0</v>
      </c>
      <c r="L250" s="47"/>
      <c r="M250" s="47"/>
      <c r="N250" s="82"/>
      <c r="O250" s="82"/>
      <c r="P250" s="82"/>
      <c r="Q250" s="47"/>
      <c r="R250" s="47"/>
      <c r="S250" s="47"/>
      <c r="T250" s="47"/>
      <c r="U250" s="47"/>
      <c r="V250" s="47"/>
      <c r="W250" s="47"/>
      <c r="X250" s="47"/>
      <c r="Y250" s="47"/>
      <c r="Z250" s="14"/>
    </row>
    <row r="251" spans="1:26" x14ac:dyDescent="0.25">
      <c r="A251" s="76">
        <v>244</v>
      </c>
      <c r="B251" s="76"/>
      <c r="C251" s="76"/>
      <c r="D251" s="76"/>
      <c r="E251" s="14"/>
      <c r="F251" s="1" t="str">
        <f>Assembler!M246</f>
        <v/>
      </c>
      <c r="G251" s="9">
        <f t="shared" si="17"/>
        <v>0</v>
      </c>
      <c r="H251" s="9" t="str">
        <f t="shared" si="18"/>
        <v>0</v>
      </c>
      <c r="I251" s="9" t="str">
        <f t="shared" si="19"/>
        <v>0</v>
      </c>
      <c r="J251" s="6">
        <f t="shared" si="20"/>
        <v>0</v>
      </c>
      <c r="K251" s="6">
        <f t="shared" si="21"/>
        <v>0</v>
      </c>
      <c r="L251" s="47"/>
      <c r="M251" s="47"/>
      <c r="N251" s="82"/>
      <c r="O251" s="82"/>
      <c r="P251" s="82"/>
      <c r="Q251" s="47"/>
      <c r="R251" s="47"/>
      <c r="S251" s="47"/>
      <c r="T251" s="47"/>
      <c r="U251" s="47"/>
      <c r="V251" s="47"/>
      <c r="W251" s="47"/>
      <c r="X251" s="47"/>
      <c r="Y251" s="47"/>
      <c r="Z251" s="14"/>
    </row>
    <row r="252" spans="1:26" x14ac:dyDescent="0.25">
      <c r="A252" s="76">
        <v>245</v>
      </c>
      <c r="B252" s="76"/>
      <c r="C252" s="76"/>
      <c r="D252" s="76"/>
      <c r="E252" s="14"/>
      <c r="F252" s="1" t="str">
        <f>Assembler!M247</f>
        <v/>
      </c>
      <c r="G252" s="9">
        <f t="shared" si="17"/>
        <v>0</v>
      </c>
      <c r="H252" s="9" t="str">
        <f t="shared" si="18"/>
        <v>0</v>
      </c>
      <c r="I252" s="9" t="str">
        <f t="shared" si="19"/>
        <v>0</v>
      </c>
      <c r="J252" s="6">
        <f t="shared" si="20"/>
        <v>0</v>
      </c>
      <c r="K252" s="6">
        <f t="shared" si="21"/>
        <v>0</v>
      </c>
      <c r="L252" s="47"/>
      <c r="M252" s="47"/>
      <c r="N252" s="82"/>
      <c r="O252" s="82"/>
      <c r="P252" s="82"/>
      <c r="Q252" s="47"/>
      <c r="R252" s="47"/>
      <c r="S252" s="47"/>
      <c r="T252" s="47"/>
      <c r="U252" s="47"/>
      <c r="V252" s="47"/>
      <c r="W252" s="47"/>
      <c r="X252" s="47"/>
      <c r="Y252" s="47"/>
      <c r="Z252" s="14"/>
    </row>
    <row r="253" spans="1:26" x14ac:dyDescent="0.25">
      <c r="A253" s="76">
        <v>246</v>
      </c>
      <c r="B253" s="76"/>
      <c r="C253" s="76"/>
      <c r="D253" s="76"/>
      <c r="E253" s="14"/>
      <c r="F253" s="1" t="str">
        <f>Assembler!M248</f>
        <v/>
      </c>
      <c r="G253" s="9">
        <f t="shared" si="17"/>
        <v>0</v>
      </c>
      <c r="H253" s="9" t="str">
        <f t="shared" si="18"/>
        <v>0</v>
      </c>
      <c r="I253" s="9" t="str">
        <f t="shared" si="19"/>
        <v>0</v>
      </c>
      <c r="J253" s="6">
        <f t="shared" si="20"/>
        <v>0</v>
      </c>
      <c r="K253" s="6">
        <f t="shared" si="21"/>
        <v>0</v>
      </c>
      <c r="L253" s="47"/>
      <c r="M253" s="47"/>
      <c r="N253" s="82"/>
      <c r="O253" s="82"/>
      <c r="P253" s="82"/>
      <c r="Q253" s="47"/>
      <c r="R253" s="47"/>
      <c r="S253" s="47"/>
      <c r="T253" s="47"/>
      <c r="U253" s="47"/>
      <c r="V253" s="47"/>
      <c r="W253" s="47"/>
      <c r="X253" s="47"/>
      <c r="Y253" s="47"/>
      <c r="Z253" s="14"/>
    </row>
    <row r="254" spans="1:26" x14ac:dyDescent="0.25">
      <c r="A254" s="76">
        <v>247</v>
      </c>
      <c r="B254" s="76"/>
      <c r="C254" s="76"/>
      <c r="D254" s="76"/>
      <c r="E254" s="14"/>
      <c r="F254" s="1" t="str">
        <f>Assembler!M249</f>
        <v/>
      </c>
      <c r="G254" s="9">
        <f t="shared" si="17"/>
        <v>0</v>
      </c>
      <c r="H254" s="9" t="str">
        <f t="shared" si="18"/>
        <v>0</v>
      </c>
      <c r="I254" s="9" t="str">
        <f t="shared" si="19"/>
        <v>0</v>
      </c>
      <c r="J254" s="6">
        <f t="shared" si="20"/>
        <v>0</v>
      </c>
      <c r="K254" s="6">
        <f t="shared" si="21"/>
        <v>0</v>
      </c>
      <c r="L254" s="47"/>
      <c r="M254" s="47"/>
      <c r="N254" s="82"/>
      <c r="O254" s="82"/>
      <c r="P254" s="82"/>
      <c r="Q254" s="47"/>
      <c r="R254" s="47"/>
      <c r="S254" s="47"/>
      <c r="T254" s="47"/>
      <c r="U254" s="47"/>
      <c r="V254" s="47"/>
      <c r="W254" s="47"/>
      <c r="X254" s="47"/>
      <c r="Y254" s="47"/>
      <c r="Z254" s="14"/>
    </row>
    <row r="255" spans="1:26" x14ac:dyDescent="0.25">
      <c r="A255" s="76">
        <v>248</v>
      </c>
      <c r="B255" s="76"/>
      <c r="C255" s="76"/>
      <c r="D255" s="76"/>
      <c r="E255" s="14"/>
      <c r="F255" s="1" t="str">
        <f>Assembler!M250</f>
        <v/>
      </c>
      <c r="G255" s="9">
        <f t="shared" si="17"/>
        <v>0</v>
      </c>
      <c r="H255" s="9" t="str">
        <f t="shared" si="18"/>
        <v>0</v>
      </c>
      <c r="I255" s="9" t="str">
        <f t="shared" si="19"/>
        <v>0</v>
      </c>
      <c r="J255" s="6">
        <f t="shared" si="20"/>
        <v>0</v>
      </c>
      <c r="K255" s="6">
        <f t="shared" si="21"/>
        <v>0</v>
      </c>
      <c r="L255" s="47"/>
      <c r="M255" s="47"/>
      <c r="N255" s="82"/>
      <c r="O255" s="82"/>
      <c r="P255" s="82"/>
      <c r="Q255" s="47"/>
      <c r="R255" s="47"/>
      <c r="S255" s="47"/>
      <c r="T255" s="47"/>
      <c r="U255" s="47"/>
      <c r="V255" s="47"/>
      <c r="W255" s="47"/>
      <c r="X255" s="47"/>
      <c r="Y255" s="47"/>
      <c r="Z255" s="14"/>
    </row>
    <row r="256" spans="1:26" x14ac:dyDescent="0.25">
      <c r="A256" s="76">
        <v>249</v>
      </c>
      <c r="B256" s="76"/>
      <c r="C256" s="76"/>
      <c r="D256" s="76"/>
      <c r="E256" s="14"/>
      <c r="F256" s="1" t="str">
        <f>Assembler!M251</f>
        <v/>
      </c>
      <c r="G256" s="9">
        <f t="shared" si="17"/>
        <v>0</v>
      </c>
      <c r="H256" s="9" t="str">
        <f t="shared" si="18"/>
        <v>0</v>
      </c>
      <c r="I256" s="9" t="str">
        <f t="shared" si="19"/>
        <v>0</v>
      </c>
      <c r="J256" s="6">
        <f t="shared" si="20"/>
        <v>0</v>
      </c>
      <c r="K256" s="6">
        <f t="shared" si="21"/>
        <v>0</v>
      </c>
      <c r="L256" s="47"/>
      <c r="M256" s="47"/>
      <c r="N256" s="82"/>
      <c r="O256" s="82"/>
      <c r="P256" s="82"/>
      <c r="Q256" s="47"/>
      <c r="R256" s="47"/>
      <c r="S256" s="47"/>
      <c r="T256" s="47"/>
      <c r="U256" s="47"/>
      <c r="V256" s="47"/>
      <c r="W256" s="47"/>
      <c r="X256" s="47"/>
      <c r="Y256" s="47"/>
      <c r="Z256" s="14"/>
    </row>
    <row r="257" spans="1:26" x14ac:dyDescent="0.25">
      <c r="A257" s="76">
        <v>250</v>
      </c>
      <c r="B257" s="76"/>
      <c r="C257" s="76"/>
      <c r="D257" s="76"/>
      <c r="E257" s="14"/>
      <c r="F257" s="1" t="str">
        <f>Assembler!M252</f>
        <v/>
      </c>
      <c r="G257" s="9">
        <f t="shared" si="17"/>
        <v>0</v>
      </c>
      <c r="H257" s="9" t="str">
        <f t="shared" si="18"/>
        <v>0</v>
      </c>
      <c r="I257" s="9" t="str">
        <f t="shared" si="19"/>
        <v>0</v>
      </c>
      <c r="J257" s="6">
        <f t="shared" si="20"/>
        <v>0</v>
      </c>
      <c r="K257" s="6">
        <f t="shared" si="21"/>
        <v>0</v>
      </c>
      <c r="L257" s="47"/>
      <c r="M257" s="47"/>
      <c r="N257" s="82"/>
      <c r="O257" s="82"/>
      <c r="P257" s="82"/>
      <c r="Q257" s="47"/>
      <c r="R257" s="47"/>
      <c r="S257" s="47"/>
      <c r="T257" s="47"/>
      <c r="U257" s="47"/>
      <c r="V257" s="47"/>
      <c r="W257" s="47"/>
      <c r="X257" s="47"/>
      <c r="Y257" s="47"/>
      <c r="Z257" s="14"/>
    </row>
    <row r="258" spans="1:26" x14ac:dyDescent="0.25">
      <c r="A258" s="76">
        <v>251</v>
      </c>
      <c r="B258" s="76"/>
      <c r="C258" s="76"/>
      <c r="D258" s="76"/>
      <c r="E258" s="14"/>
      <c r="F258" s="1" t="str">
        <f>Assembler!M253</f>
        <v/>
      </c>
      <c r="G258" s="9">
        <f t="shared" si="17"/>
        <v>0</v>
      </c>
      <c r="H258" s="9" t="str">
        <f t="shared" si="18"/>
        <v>0</v>
      </c>
      <c r="I258" s="9" t="str">
        <f t="shared" si="19"/>
        <v>0</v>
      </c>
      <c r="J258" s="6">
        <f t="shared" si="20"/>
        <v>0</v>
      </c>
      <c r="K258" s="6">
        <f t="shared" si="21"/>
        <v>0</v>
      </c>
      <c r="L258" s="47"/>
      <c r="M258" s="47"/>
      <c r="N258" s="82"/>
      <c r="O258" s="82"/>
      <c r="P258" s="82"/>
      <c r="Q258" s="47"/>
      <c r="R258" s="47"/>
      <c r="S258" s="47"/>
      <c r="T258" s="47"/>
      <c r="U258" s="47"/>
      <c r="V258" s="47"/>
      <c r="W258" s="47"/>
      <c r="X258" s="47"/>
      <c r="Y258" s="47"/>
      <c r="Z258" s="14"/>
    </row>
    <row r="259" spans="1:26" x14ac:dyDescent="0.25">
      <c r="A259" s="76">
        <v>252</v>
      </c>
      <c r="B259" s="76"/>
      <c r="C259" s="76"/>
      <c r="D259" s="76"/>
      <c r="E259" s="14"/>
      <c r="F259" s="1" t="str">
        <f>Assembler!M254</f>
        <v/>
      </c>
      <c r="G259" s="9">
        <f t="shared" si="17"/>
        <v>0</v>
      </c>
      <c r="H259" s="9" t="str">
        <f t="shared" si="18"/>
        <v>0</v>
      </c>
      <c r="I259" s="9" t="str">
        <f t="shared" si="19"/>
        <v>0</v>
      </c>
      <c r="J259" s="6">
        <f t="shared" si="20"/>
        <v>0</v>
      </c>
      <c r="K259" s="6">
        <f t="shared" si="21"/>
        <v>0</v>
      </c>
      <c r="L259" s="47"/>
      <c r="M259" s="47"/>
      <c r="N259" s="82"/>
      <c r="O259" s="82"/>
      <c r="P259" s="82"/>
      <c r="Q259" s="47"/>
      <c r="R259" s="47"/>
      <c r="S259" s="47"/>
      <c r="T259" s="47"/>
      <c r="U259" s="47"/>
      <c r="V259" s="47"/>
      <c r="W259" s="47"/>
      <c r="X259" s="47"/>
      <c r="Y259" s="47"/>
      <c r="Z259" s="14"/>
    </row>
    <row r="260" spans="1:26" x14ac:dyDescent="0.25">
      <c r="A260" s="76">
        <v>253</v>
      </c>
      <c r="B260" s="76"/>
      <c r="C260" s="76"/>
      <c r="D260" s="76"/>
      <c r="E260" s="14"/>
      <c r="F260" s="1" t="str">
        <f>Assembler!M255</f>
        <v/>
      </c>
      <c r="G260" s="9">
        <f t="shared" si="17"/>
        <v>0</v>
      </c>
      <c r="H260" s="9" t="str">
        <f t="shared" si="18"/>
        <v>0</v>
      </c>
      <c r="I260" s="9" t="str">
        <f t="shared" si="19"/>
        <v>0</v>
      </c>
      <c r="J260" s="6">
        <f t="shared" si="20"/>
        <v>0</v>
      </c>
      <c r="K260" s="6">
        <f t="shared" si="21"/>
        <v>0</v>
      </c>
      <c r="L260" s="47"/>
      <c r="M260" s="47"/>
      <c r="N260" s="82"/>
      <c r="O260" s="82"/>
      <c r="P260" s="82"/>
      <c r="Q260" s="47"/>
      <c r="R260" s="47"/>
      <c r="S260" s="47"/>
      <c r="T260" s="47"/>
      <c r="U260" s="47"/>
      <c r="V260" s="47"/>
      <c r="W260" s="47"/>
      <c r="X260" s="47"/>
      <c r="Y260" s="47"/>
      <c r="Z260" s="14"/>
    </row>
    <row r="261" spans="1:26" x14ac:dyDescent="0.25">
      <c r="A261" s="76">
        <v>254</v>
      </c>
      <c r="B261" s="76"/>
      <c r="C261" s="76"/>
      <c r="D261" s="76"/>
      <c r="E261" s="14"/>
      <c r="F261" s="1" t="str">
        <f>Assembler!M256</f>
        <v/>
      </c>
      <c r="G261" s="9">
        <f t="shared" si="17"/>
        <v>0</v>
      </c>
      <c r="H261" s="9" t="str">
        <f t="shared" si="18"/>
        <v>0</v>
      </c>
      <c r="I261" s="9" t="str">
        <f t="shared" si="19"/>
        <v>0</v>
      </c>
      <c r="J261" s="6">
        <f t="shared" si="20"/>
        <v>0</v>
      </c>
      <c r="K261" s="6">
        <f t="shared" si="21"/>
        <v>0</v>
      </c>
      <c r="L261" s="47"/>
      <c r="M261" s="47"/>
      <c r="N261" s="82"/>
      <c r="O261" s="82"/>
      <c r="P261" s="82"/>
      <c r="Q261" s="47"/>
      <c r="R261" s="47"/>
      <c r="S261" s="47"/>
      <c r="T261" s="47"/>
      <c r="U261" s="47"/>
      <c r="V261" s="47"/>
      <c r="W261" s="47"/>
      <c r="X261" s="47"/>
      <c r="Y261" s="47"/>
      <c r="Z261" s="14"/>
    </row>
    <row r="262" spans="1:26" x14ac:dyDescent="0.25">
      <c r="A262" s="76">
        <v>255</v>
      </c>
      <c r="B262" s="76"/>
      <c r="C262" s="76"/>
      <c r="D262" s="76"/>
      <c r="E262" s="14"/>
      <c r="F262" s="1" t="str">
        <f>Assembler!M257</f>
        <v/>
      </c>
      <c r="G262" s="9">
        <f t="shared" si="17"/>
        <v>0</v>
      </c>
      <c r="H262" s="9" t="str">
        <f t="shared" si="18"/>
        <v>0</v>
      </c>
      <c r="I262" s="9" t="str">
        <f t="shared" si="19"/>
        <v>0</v>
      </c>
      <c r="J262" s="6">
        <f t="shared" si="20"/>
        <v>0</v>
      </c>
      <c r="K262" s="6">
        <f t="shared" si="21"/>
        <v>0</v>
      </c>
      <c r="L262" s="47"/>
      <c r="M262" s="47"/>
      <c r="N262" s="82"/>
      <c r="O262" s="82"/>
      <c r="P262" s="82"/>
      <c r="Q262" s="47"/>
      <c r="R262" s="47"/>
      <c r="S262" s="47"/>
      <c r="T262" s="47"/>
      <c r="U262" s="47"/>
      <c r="V262" s="47"/>
      <c r="W262" s="47"/>
      <c r="X262" s="47"/>
      <c r="Y262" s="47"/>
      <c r="Z262" s="14"/>
    </row>
    <row r="100008" spans="26:26" x14ac:dyDescent="0.25">
      <c r="Z100008" s="2">
        <v>1</v>
      </c>
    </row>
    <row r="100017" spans="26:26" x14ac:dyDescent="0.25">
      <c r="Z100017" s="2">
        <v>1</v>
      </c>
    </row>
  </sheetData>
  <sheetProtection selectLockedCells="1" selectUnlockedCells="1"/>
  <mergeCells count="6">
    <mergeCell ref="U3:Y3"/>
    <mergeCell ref="B3:E3"/>
    <mergeCell ref="F3:G3"/>
    <mergeCell ref="H3:I3"/>
    <mergeCell ref="J3:K3"/>
    <mergeCell ref="M3:S3"/>
  </mergeCells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autoLine="0" r:id="rId8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sqref="A1:D16"/>
    </sheetView>
  </sheetViews>
  <sheetFormatPr defaultRowHeight="15" x14ac:dyDescent="0.25"/>
  <sheetData>
    <row r="1" spans="1:4" x14ac:dyDescent="0.25">
      <c r="A1" s="1" t="s">
        <v>34</v>
      </c>
      <c r="B1" s="11"/>
      <c r="C1" s="11" t="s">
        <v>8</v>
      </c>
      <c r="D1" s="11" t="s">
        <v>148</v>
      </c>
    </row>
    <row r="2" spans="1:4" x14ac:dyDescent="0.25">
      <c r="A2" s="1" t="s">
        <v>34</v>
      </c>
      <c r="B2" s="11"/>
      <c r="C2" s="11" t="s">
        <v>9</v>
      </c>
      <c r="D2" s="11" t="s">
        <v>148</v>
      </c>
    </row>
    <row r="3" spans="1:4" x14ac:dyDescent="0.25">
      <c r="A3" s="18" t="s">
        <v>34</v>
      </c>
      <c r="B3" s="19"/>
      <c r="C3" s="19" t="s">
        <v>11</v>
      </c>
      <c r="D3" s="19" t="s">
        <v>147</v>
      </c>
    </row>
    <row r="4" spans="1:4" x14ac:dyDescent="0.25">
      <c r="A4" s="18" t="s">
        <v>6</v>
      </c>
      <c r="B4" s="19" t="s">
        <v>10</v>
      </c>
      <c r="C4" s="19" t="s">
        <v>10</v>
      </c>
      <c r="D4" s="19"/>
    </row>
    <row r="5" spans="1:4" x14ac:dyDescent="0.25">
      <c r="A5" s="18" t="s">
        <v>68</v>
      </c>
      <c r="B5" s="19"/>
      <c r="C5" s="19"/>
      <c r="D5" s="19"/>
    </row>
    <row r="6" spans="1:4" x14ac:dyDescent="0.25">
      <c r="A6" s="18" t="s">
        <v>2</v>
      </c>
      <c r="B6" s="19" t="s">
        <v>8</v>
      </c>
      <c r="C6" s="19" t="s">
        <v>8</v>
      </c>
      <c r="D6" s="19"/>
    </row>
    <row r="7" spans="1:4" x14ac:dyDescent="0.25">
      <c r="A7" s="18" t="s">
        <v>47</v>
      </c>
      <c r="B7" s="19"/>
      <c r="C7" s="19"/>
      <c r="D7" s="19" t="s">
        <v>149</v>
      </c>
    </row>
    <row r="8" spans="1:4" x14ac:dyDescent="0.25">
      <c r="A8" s="18" t="s">
        <v>38</v>
      </c>
      <c r="B8" s="19"/>
      <c r="C8" s="19"/>
      <c r="D8" s="19" t="s">
        <v>150</v>
      </c>
    </row>
    <row r="9" spans="1:4" x14ac:dyDescent="0.25">
      <c r="A9" s="18" t="s">
        <v>68</v>
      </c>
      <c r="B9" s="19"/>
      <c r="C9" s="19"/>
      <c r="D9" s="19"/>
    </row>
    <row r="10" spans="1:4" x14ac:dyDescent="0.25">
      <c r="A10" s="18" t="s">
        <v>0</v>
      </c>
      <c r="B10" s="19" t="s">
        <v>9</v>
      </c>
      <c r="C10" s="19" t="s">
        <v>10</v>
      </c>
      <c r="D10" s="19"/>
    </row>
    <row r="11" spans="1:4" x14ac:dyDescent="0.25">
      <c r="A11" s="18" t="s">
        <v>68</v>
      </c>
      <c r="B11" s="19"/>
      <c r="C11" s="19"/>
      <c r="D11" s="19"/>
    </row>
    <row r="12" spans="1:4" x14ac:dyDescent="0.25">
      <c r="A12" s="18" t="s">
        <v>1</v>
      </c>
      <c r="B12" s="19" t="s">
        <v>9</v>
      </c>
      <c r="C12" s="19" t="s">
        <v>9</v>
      </c>
      <c r="D12" s="19"/>
    </row>
    <row r="13" spans="1:4" x14ac:dyDescent="0.25">
      <c r="A13" s="18" t="s">
        <v>1</v>
      </c>
      <c r="B13" s="19" t="s">
        <v>11</v>
      </c>
      <c r="C13" s="19" t="s">
        <v>11</v>
      </c>
      <c r="D13" s="19"/>
    </row>
    <row r="14" spans="1:4" x14ac:dyDescent="0.25">
      <c r="A14" s="18" t="s">
        <v>47</v>
      </c>
      <c r="B14" s="19"/>
      <c r="C14" s="19"/>
      <c r="D14" s="19" t="s">
        <v>151</v>
      </c>
    </row>
    <row r="15" spans="1:4" x14ac:dyDescent="0.25">
      <c r="A15" s="18" t="s">
        <v>38</v>
      </c>
      <c r="B15" s="19"/>
      <c r="C15" s="19"/>
      <c r="D15" s="19"/>
    </row>
    <row r="16" spans="1:4" x14ac:dyDescent="0.25">
      <c r="A16" s="18" t="s">
        <v>145</v>
      </c>
      <c r="B16" s="19"/>
      <c r="C16" s="19"/>
      <c r="D16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zoomScale="75" zoomScaleNormal="75" workbookViewId="0">
      <selection activeCell="J22" sqref="J22"/>
    </sheetView>
  </sheetViews>
  <sheetFormatPr defaultRowHeight="15" x14ac:dyDescent="0.25"/>
  <cols>
    <col min="1" max="1" width="27.7109375" bestFit="1" customWidth="1"/>
    <col min="2" max="2" width="12.7109375" bestFit="1" customWidth="1"/>
    <col min="3" max="3" width="58.28515625" bestFit="1" customWidth="1"/>
    <col min="4" max="4" width="18.28515625" bestFit="1" customWidth="1"/>
  </cols>
  <sheetData>
    <row r="1" spans="1:4" ht="18.75" x14ac:dyDescent="0.3">
      <c r="A1" s="49" t="s">
        <v>12</v>
      </c>
      <c r="B1" s="50" t="s">
        <v>13</v>
      </c>
      <c r="C1" s="49" t="s">
        <v>19</v>
      </c>
      <c r="D1" s="49" t="s">
        <v>70</v>
      </c>
    </row>
    <row r="2" spans="1:4" ht="18.75" x14ac:dyDescent="0.3">
      <c r="A2" s="51" t="s">
        <v>0</v>
      </c>
      <c r="B2" s="52">
        <v>1000</v>
      </c>
      <c r="C2" s="51" t="s">
        <v>22</v>
      </c>
      <c r="D2" s="51" t="s">
        <v>155</v>
      </c>
    </row>
    <row r="3" spans="1:4" ht="18.75" x14ac:dyDescent="0.3">
      <c r="A3" s="51" t="s">
        <v>2</v>
      </c>
      <c r="B3" s="52">
        <v>1001</v>
      </c>
      <c r="C3" s="51" t="s">
        <v>26</v>
      </c>
      <c r="D3" s="51" t="s">
        <v>156</v>
      </c>
    </row>
    <row r="4" spans="1:4" ht="18.75" x14ac:dyDescent="0.3">
      <c r="A4" s="51" t="s">
        <v>1</v>
      </c>
      <c r="B4" s="52">
        <v>1010</v>
      </c>
      <c r="C4" s="51" t="s">
        <v>25</v>
      </c>
      <c r="D4" s="51" t="s">
        <v>157</v>
      </c>
    </row>
    <row r="5" spans="1:4" ht="18.75" x14ac:dyDescent="0.3">
      <c r="A5" s="51" t="s">
        <v>3</v>
      </c>
      <c r="B5" s="52">
        <v>1011</v>
      </c>
      <c r="C5" s="51" t="s">
        <v>24</v>
      </c>
      <c r="D5" s="51" t="s">
        <v>158</v>
      </c>
    </row>
    <row r="6" spans="1:4" ht="18.75" x14ac:dyDescent="0.3">
      <c r="A6" s="51" t="s">
        <v>4</v>
      </c>
      <c r="B6" s="52">
        <v>1100</v>
      </c>
      <c r="C6" s="51" t="s">
        <v>23</v>
      </c>
      <c r="D6" s="51" t="s">
        <v>159</v>
      </c>
    </row>
    <row r="7" spans="1:4" ht="18.75" x14ac:dyDescent="0.3">
      <c r="A7" s="51" t="s">
        <v>5</v>
      </c>
      <c r="B7" s="52">
        <v>1101</v>
      </c>
      <c r="C7" s="51" t="s">
        <v>27</v>
      </c>
      <c r="D7" s="51" t="s">
        <v>160</v>
      </c>
    </row>
    <row r="8" spans="1:4" ht="18.75" x14ac:dyDescent="0.3">
      <c r="A8" s="51" t="s">
        <v>6</v>
      </c>
      <c r="B8" s="52">
        <v>1110</v>
      </c>
      <c r="C8" s="51" t="s">
        <v>28</v>
      </c>
      <c r="D8" s="51" t="s">
        <v>161</v>
      </c>
    </row>
    <row r="9" spans="1:4" ht="18.75" x14ac:dyDescent="0.3">
      <c r="A9" s="51" t="s">
        <v>7</v>
      </c>
      <c r="B9" s="52">
        <v>1111</v>
      </c>
      <c r="C9" s="51" t="s">
        <v>29</v>
      </c>
      <c r="D9" s="51" t="s">
        <v>162</v>
      </c>
    </row>
    <row r="10" spans="1:4" ht="18.75" x14ac:dyDescent="0.3">
      <c r="A10" s="51" t="s">
        <v>14</v>
      </c>
      <c r="B10" s="52" t="s">
        <v>15</v>
      </c>
      <c r="C10" s="51" t="s">
        <v>18</v>
      </c>
      <c r="D10" s="51" t="s">
        <v>163</v>
      </c>
    </row>
    <row r="11" spans="1:4" ht="18.75" x14ac:dyDescent="0.3">
      <c r="A11" s="51" t="s">
        <v>17</v>
      </c>
      <c r="B11" s="52" t="s">
        <v>16</v>
      </c>
      <c r="C11" s="51" t="s">
        <v>20</v>
      </c>
      <c r="D11" s="51" t="s">
        <v>164</v>
      </c>
    </row>
    <row r="12" spans="1:4" ht="18.75" x14ac:dyDescent="0.3">
      <c r="A12" s="51" t="s">
        <v>34</v>
      </c>
      <c r="B12" s="53" t="s">
        <v>112</v>
      </c>
      <c r="C12" s="51" t="s">
        <v>35</v>
      </c>
      <c r="D12" s="51" t="s">
        <v>165</v>
      </c>
    </row>
    <row r="13" spans="1:4" ht="18.75" x14ac:dyDescent="0.3">
      <c r="A13" s="51" t="s">
        <v>36</v>
      </c>
      <c r="B13" s="52">
        <v>1100</v>
      </c>
      <c r="C13" s="51" t="s">
        <v>37</v>
      </c>
      <c r="D13" s="51" t="s">
        <v>80</v>
      </c>
    </row>
    <row r="14" spans="1:4" ht="18.75" x14ac:dyDescent="0.3">
      <c r="A14" s="51" t="s">
        <v>38</v>
      </c>
      <c r="B14" s="53" t="s">
        <v>154</v>
      </c>
      <c r="C14" s="51" t="s">
        <v>39</v>
      </c>
      <c r="D14" s="51" t="s">
        <v>82</v>
      </c>
    </row>
    <row r="15" spans="1:4" ht="18.75" x14ac:dyDescent="0.3">
      <c r="A15" s="51" t="s">
        <v>40</v>
      </c>
      <c r="B15" s="53" t="s">
        <v>138</v>
      </c>
      <c r="C15" s="51" t="s">
        <v>41</v>
      </c>
      <c r="D15" s="51" t="s">
        <v>83</v>
      </c>
    </row>
    <row r="16" spans="1:4" ht="18.75" x14ac:dyDescent="0.3">
      <c r="A16" s="51" t="s">
        <v>43</v>
      </c>
      <c r="B16" s="52" t="s">
        <v>42</v>
      </c>
      <c r="C16" s="51" t="s">
        <v>44</v>
      </c>
      <c r="D16" s="51" t="s">
        <v>84</v>
      </c>
    </row>
    <row r="17" spans="1:4" ht="18.75" x14ac:dyDescent="0.3">
      <c r="A17" s="51" t="s">
        <v>45</v>
      </c>
      <c r="B17" s="52" t="s">
        <v>46</v>
      </c>
      <c r="C17" s="51" t="s">
        <v>67</v>
      </c>
      <c r="D17" s="51" t="s">
        <v>85</v>
      </c>
    </row>
    <row r="18" spans="1:4" ht="18.75" x14ac:dyDescent="0.3">
      <c r="A18" s="51" t="s">
        <v>47</v>
      </c>
      <c r="B18" s="52" t="s">
        <v>48</v>
      </c>
      <c r="C18" s="51" t="s">
        <v>49</v>
      </c>
      <c r="D18" s="51" t="s">
        <v>86</v>
      </c>
    </row>
    <row r="19" spans="1:4" ht="18.75" x14ac:dyDescent="0.3">
      <c r="A19" s="51" t="s">
        <v>50</v>
      </c>
      <c r="B19" s="53" t="s">
        <v>127</v>
      </c>
      <c r="C19" s="51" t="s">
        <v>60</v>
      </c>
      <c r="D19" s="51" t="s">
        <v>87</v>
      </c>
    </row>
    <row r="20" spans="1:4" ht="18.75" x14ac:dyDescent="0.3">
      <c r="A20" s="51" t="s">
        <v>51</v>
      </c>
      <c r="B20" s="53" t="s">
        <v>128</v>
      </c>
      <c r="C20" s="51" t="s">
        <v>61</v>
      </c>
      <c r="D20" s="51" t="s">
        <v>88</v>
      </c>
    </row>
    <row r="21" spans="1:4" ht="18.75" x14ac:dyDescent="0.3">
      <c r="A21" s="51" t="s">
        <v>52</v>
      </c>
      <c r="B21" s="53" t="s">
        <v>129</v>
      </c>
      <c r="C21" s="51" t="s">
        <v>62</v>
      </c>
      <c r="D21" s="51" t="s">
        <v>89</v>
      </c>
    </row>
    <row r="22" spans="1:4" ht="18.75" x14ac:dyDescent="0.3">
      <c r="A22" s="51" t="s">
        <v>53</v>
      </c>
      <c r="B22" s="53" t="s">
        <v>130</v>
      </c>
      <c r="C22" s="51" t="s">
        <v>146</v>
      </c>
      <c r="D22" s="51" t="s">
        <v>90</v>
      </c>
    </row>
    <row r="23" spans="1:4" ht="18.75" x14ac:dyDescent="0.3">
      <c r="A23" s="51" t="s">
        <v>54</v>
      </c>
      <c r="B23" s="53" t="s">
        <v>131</v>
      </c>
      <c r="C23" s="51" t="s">
        <v>63</v>
      </c>
      <c r="D23" s="51" t="s">
        <v>91</v>
      </c>
    </row>
    <row r="24" spans="1:4" ht="18.75" x14ac:dyDescent="0.3">
      <c r="A24" s="51" t="s">
        <v>55</v>
      </c>
      <c r="B24" s="53" t="s">
        <v>132</v>
      </c>
      <c r="C24" s="51" t="s">
        <v>64</v>
      </c>
      <c r="D24" s="51" t="s">
        <v>92</v>
      </c>
    </row>
    <row r="25" spans="1:4" ht="18.75" x14ac:dyDescent="0.3">
      <c r="A25" s="51" t="s">
        <v>56</v>
      </c>
      <c r="B25" s="53" t="s">
        <v>133</v>
      </c>
      <c r="C25" s="51" t="s">
        <v>65</v>
      </c>
      <c r="D25" s="51" t="s">
        <v>93</v>
      </c>
    </row>
    <row r="26" spans="1:4" ht="18.75" x14ac:dyDescent="0.3">
      <c r="A26" s="51" t="s">
        <v>122</v>
      </c>
      <c r="B26" s="53" t="s">
        <v>134</v>
      </c>
      <c r="C26" s="51" t="s">
        <v>123</v>
      </c>
      <c r="D26" s="51" t="s">
        <v>124</v>
      </c>
    </row>
    <row r="27" spans="1:4" ht="18.75" x14ac:dyDescent="0.3">
      <c r="A27" s="51" t="s">
        <v>57</v>
      </c>
      <c r="B27" s="53" t="s">
        <v>135</v>
      </c>
      <c r="C27" s="51" t="s">
        <v>125</v>
      </c>
      <c r="D27" s="51" t="s">
        <v>94</v>
      </c>
    </row>
    <row r="28" spans="1:4" ht="18.75" x14ac:dyDescent="0.3">
      <c r="A28" s="51" t="s">
        <v>58</v>
      </c>
      <c r="B28" s="53" t="s">
        <v>136</v>
      </c>
      <c r="C28" s="51" t="s">
        <v>126</v>
      </c>
      <c r="D28" s="51" t="s">
        <v>95</v>
      </c>
    </row>
    <row r="29" spans="1:4" ht="18.75" x14ac:dyDescent="0.3">
      <c r="A29" s="51" t="s">
        <v>59</v>
      </c>
      <c r="B29" s="53" t="s">
        <v>137</v>
      </c>
      <c r="C29" s="51" t="s">
        <v>66</v>
      </c>
      <c r="D29" s="51" t="s">
        <v>96</v>
      </c>
    </row>
    <row r="30" spans="1:4" ht="18.75" x14ac:dyDescent="0.3">
      <c r="A30" s="51" t="s">
        <v>68</v>
      </c>
      <c r="B30" s="52" t="s">
        <v>97</v>
      </c>
      <c r="C30" s="51" t="s">
        <v>69</v>
      </c>
      <c r="D30" s="51" t="s">
        <v>68</v>
      </c>
    </row>
    <row r="31" spans="1:4" ht="18.75" x14ac:dyDescent="0.3">
      <c r="A31" s="51" t="s">
        <v>8</v>
      </c>
      <c r="B31" s="54" t="s">
        <v>98</v>
      </c>
      <c r="C31" s="51" t="s">
        <v>30</v>
      </c>
      <c r="D31" s="51" t="s">
        <v>8</v>
      </c>
    </row>
    <row r="32" spans="1:4" ht="18.75" x14ac:dyDescent="0.3">
      <c r="A32" s="51" t="s">
        <v>9</v>
      </c>
      <c r="B32" s="54" t="s">
        <v>99</v>
      </c>
      <c r="C32" s="51" t="s">
        <v>31</v>
      </c>
      <c r="D32" s="51" t="s">
        <v>9</v>
      </c>
    </row>
    <row r="33" spans="1:4" ht="18.75" x14ac:dyDescent="0.3">
      <c r="A33" s="51" t="s">
        <v>10</v>
      </c>
      <c r="B33" s="54" t="s">
        <v>115</v>
      </c>
      <c r="C33" s="51" t="s">
        <v>32</v>
      </c>
      <c r="D33" s="51" t="s">
        <v>10</v>
      </c>
    </row>
    <row r="34" spans="1:4" ht="18.75" x14ac:dyDescent="0.3">
      <c r="A34" s="51" t="s">
        <v>11</v>
      </c>
      <c r="B34" s="54" t="s">
        <v>116</v>
      </c>
      <c r="C34" s="51" t="s">
        <v>33</v>
      </c>
      <c r="D34" s="51" t="s">
        <v>11</v>
      </c>
    </row>
    <row r="35" spans="1:4" ht="18.75" x14ac:dyDescent="0.3">
      <c r="A35" s="51" t="s">
        <v>100</v>
      </c>
      <c r="B35" s="52"/>
      <c r="C35" s="51" t="s">
        <v>104</v>
      </c>
      <c r="D35" s="51" t="s">
        <v>108</v>
      </c>
    </row>
    <row r="36" spans="1:4" ht="18.75" x14ac:dyDescent="0.3">
      <c r="A36" s="51" t="s">
        <v>101</v>
      </c>
      <c r="B36" s="52"/>
      <c r="C36" s="51" t="s">
        <v>105</v>
      </c>
      <c r="D36" s="51" t="s">
        <v>109</v>
      </c>
    </row>
    <row r="37" spans="1:4" ht="18.75" x14ac:dyDescent="0.3">
      <c r="A37" s="51" t="s">
        <v>102</v>
      </c>
      <c r="B37" s="52"/>
      <c r="C37" s="51" t="s">
        <v>106</v>
      </c>
      <c r="D37" s="51" t="s">
        <v>110</v>
      </c>
    </row>
    <row r="38" spans="1:4" ht="18.75" x14ac:dyDescent="0.3">
      <c r="A38" s="51" t="s">
        <v>103</v>
      </c>
      <c r="B38" s="52"/>
      <c r="C38" s="51" t="s">
        <v>107</v>
      </c>
      <c r="D38" s="51" t="s">
        <v>111</v>
      </c>
    </row>
    <row r="39" spans="1:4" ht="18.75" x14ac:dyDescent="0.3">
      <c r="A39" s="51" t="s">
        <v>145</v>
      </c>
      <c r="B39" s="52">
        <v>11001111</v>
      </c>
      <c r="C39" s="51" t="s">
        <v>145</v>
      </c>
      <c r="D39" s="51" t="s">
        <v>145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"/>
  <sheetViews>
    <sheetView workbookViewId="0">
      <selection activeCell="A2" sqref="A2:D13"/>
    </sheetView>
  </sheetViews>
  <sheetFormatPr defaultRowHeight="15" x14ac:dyDescent="0.25"/>
  <sheetData>
    <row r="1" spans="1:9" x14ac:dyDescent="0.25">
      <c r="A1" s="118" t="s">
        <v>195</v>
      </c>
      <c r="B1" s="118"/>
      <c r="C1" s="118"/>
      <c r="D1" s="118"/>
      <c r="F1" s="118" t="s">
        <v>196</v>
      </c>
      <c r="G1" s="118"/>
      <c r="H1" s="118"/>
      <c r="I1" s="118"/>
    </row>
    <row r="2" spans="1:9" x14ac:dyDescent="0.25">
      <c r="A2" s="101" t="s">
        <v>34</v>
      </c>
      <c r="B2" s="102"/>
      <c r="C2" s="102" t="s">
        <v>8</v>
      </c>
      <c r="D2" s="102" t="s">
        <v>207</v>
      </c>
      <c r="F2" s="76" t="s">
        <v>34</v>
      </c>
      <c r="G2" s="97"/>
      <c r="H2" s="97" t="s">
        <v>8</v>
      </c>
      <c r="I2" s="97" t="s">
        <v>148</v>
      </c>
    </row>
    <row r="3" spans="1:9" x14ac:dyDescent="0.25">
      <c r="A3" s="101" t="s">
        <v>34</v>
      </c>
      <c r="B3" s="102"/>
      <c r="C3" s="102" t="s">
        <v>9</v>
      </c>
      <c r="D3" s="102" t="s">
        <v>147</v>
      </c>
      <c r="F3" s="76" t="s">
        <v>34</v>
      </c>
      <c r="G3" s="97"/>
      <c r="H3" s="97" t="s">
        <v>9</v>
      </c>
      <c r="I3" s="97" t="s">
        <v>148</v>
      </c>
    </row>
    <row r="4" spans="1:9" x14ac:dyDescent="0.25">
      <c r="A4" s="104" t="s">
        <v>34</v>
      </c>
      <c r="B4" s="105"/>
      <c r="C4" s="105" t="s">
        <v>10</v>
      </c>
      <c r="D4" s="105" t="s">
        <v>213</v>
      </c>
      <c r="F4" s="98" t="s">
        <v>34</v>
      </c>
      <c r="G4" s="99"/>
      <c r="H4" s="99" t="s">
        <v>11</v>
      </c>
      <c r="I4" s="99" t="s">
        <v>147</v>
      </c>
    </row>
    <row r="5" spans="1:9" x14ac:dyDescent="0.25">
      <c r="A5" s="101" t="s">
        <v>34</v>
      </c>
      <c r="B5" s="101"/>
      <c r="C5" s="101" t="s">
        <v>11</v>
      </c>
      <c r="D5" s="103">
        <v>10100</v>
      </c>
      <c r="F5" s="98" t="s">
        <v>6</v>
      </c>
      <c r="G5" s="99" t="s">
        <v>10</v>
      </c>
      <c r="H5" s="99" t="s">
        <v>10</v>
      </c>
      <c r="I5" s="99"/>
    </row>
    <row r="6" spans="1:9" x14ac:dyDescent="0.25">
      <c r="A6" s="104" t="s">
        <v>0</v>
      </c>
      <c r="B6" s="105" t="s">
        <v>9</v>
      </c>
      <c r="C6" s="105" t="s">
        <v>8</v>
      </c>
      <c r="D6" s="103"/>
      <c r="F6" s="98" t="s">
        <v>68</v>
      </c>
      <c r="G6" s="99"/>
      <c r="H6" s="99"/>
      <c r="I6" s="99"/>
    </row>
    <row r="7" spans="1:9" x14ac:dyDescent="0.25">
      <c r="A7" s="101" t="s">
        <v>17</v>
      </c>
      <c r="B7" s="101" t="s">
        <v>10</v>
      </c>
      <c r="C7" s="101" t="s">
        <v>8</v>
      </c>
      <c r="D7" s="106"/>
      <c r="F7" s="98" t="s">
        <v>2</v>
      </c>
      <c r="G7" s="99" t="s">
        <v>8</v>
      </c>
      <c r="H7" s="99" t="s">
        <v>8</v>
      </c>
      <c r="I7" s="99"/>
    </row>
    <row r="8" spans="1:9" x14ac:dyDescent="0.25">
      <c r="A8" s="104" t="s">
        <v>17</v>
      </c>
      <c r="B8" s="105" t="s">
        <v>11</v>
      </c>
      <c r="C8" s="105" t="s">
        <v>9</v>
      </c>
      <c r="D8" s="106"/>
      <c r="F8" s="98" t="s">
        <v>47</v>
      </c>
      <c r="G8" s="99"/>
      <c r="H8" s="99"/>
      <c r="I8" s="99" t="s">
        <v>187</v>
      </c>
    </row>
    <row r="9" spans="1:9" x14ac:dyDescent="0.25">
      <c r="A9" s="104" t="s">
        <v>14</v>
      </c>
      <c r="B9" s="105" t="s">
        <v>11</v>
      </c>
      <c r="C9" s="105" t="s">
        <v>8</v>
      </c>
      <c r="D9" s="105"/>
      <c r="F9" s="98" t="s">
        <v>38</v>
      </c>
      <c r="G9" s="99"/>
      <c r="H9" s="99"/>
      <c r="I9" s="99" t="s">
        <v>150</v>
      </c>
    </row>
    <row r="10" spans="1:9" x14ac:dyDescent="0.25">
      <c r="A10" s="101" t="s">
        <v>14</v>
      </c>
      <c r="B10" s="101" t="s">
        <v>10</v>
      </c>
      <c r="C10" s="101" t="s">
        <v>9</v>
      </c>
      <c r="D10" s="105"/>
      <c r="F10" s="98" t="s">
        <v>68</v>
      </c>
      <c r="G10" s="99"/>
      <c r="H10" s="99"/>
      <c r="I10" s="99"/>
    </row>
    <row r="11" spans="1:9" x14ac:dyDescent="0.25">
      <c r="A11" s="104" t="s">
        <v>47</v>
      </c>
      <c r="B11" s="105"/>
      <c r="C11" s="105"/>
      <c r="D11" s="105" t="s">
        <v>208</v>
      </c>
      <c r="F11" s="98" t="s">
        <v>0</v>
      </c>
      <c r="G11" s="99" t="s">
        <v>9</v>
      </c>
      <c r="H11" s="99" t="s">
        <v>10</v>
      </c>
      <c r="I11" s="99"/>
    </row>
    <row r="12" spans="1:9" x14ac:dyDescent="0.25">
      <c r="A12" s="104" t="s">
        <v>38</v>
      </c>
      <c r="B12" s="105"/>
      <c r="C12" s="105"/>
      <c r="D12" s="105" t="s">
        <v>211</v>
      </c>
      <c r="F12" s="98" t="s">
        <v>68</v>
      </c>
      <c r="G12" s="99"/>
      <c r="H12" s="99"/>
      <c r="I12" s="99"/>
    </row>
    <row r="13" spans="1:9" x14ac:dyDescent="0.25">
      <c r="A13" s="98" t="s">
        <v>145</v>
      </c>
      <c r="B13" s="99"/>
      <c r="C13" s="99"/>
      <c r="D13" s="99"/>
      <c r="F13" s="98" t="s">
        <v>1</v>
      </c>
      <c r="G13" s="99" t="s">
        <v>9</v>
      </c>
      <c r="H13" s="99" t="s">
        <v>9</v>
      </c>
      <c r="I13" s="99"/>
    </row>
    <row r="14" spans="1:9" x14ac:dyDescent="0.25">
      <c r="A14" s="98"/>
      <c r="B14" s="99"/>
      <c r="C14" s="99"/>
      <c r="D14" s="99"/>
      <c r="F14" s="98" t="s">
        <v>1</v>
      </c>
      <c r="G14" s="99" t="s">
        <v>11</v>
      </c>
      <c r="H14" s="99" t="s">
        <v>11</v>
      </c>
      <c r="I14" s="99"/>
    </row>
    <row r="15" spans="1:9" x14ac:dyDescent="0.25">
      <c r="A15" s="119" t="s">
        <v>214</v>
      </c>
      <c r="B15" s="120"/>
      <c r="C15" s="120"/>
      <c r="D15" s="121"/>
      <c r="F15" s="98" t="s">
        <v>47</v>
      </c>
      <c r="G15" s="99"/>
      <c r="H15" s="99"/>
      <c r="I15" s="99" t="s">
        <v>188</v>
      </c>
    </row>
    <row r="16" spans="1:9" x14ac:dyDescent="0.25">
      <c r="A16" s="98"/>
      <c r="B16" s="99"/>
      <c r="C16" s="99"/>
      <c r="D16" s="99"/>
      <c r="F16" s="98" t="s">
        <v>38</v>
      </c>
      <c r="G16" s="99"/>
      <c r="H16" s="99"/>
      <c r="I16" s="99" t="s">
        <v>184</v>
      </c>
    </row>
    <row r="17" spans="1:9" x14ac:dyDescent="0.25">
      <c r="A17" s="98"/>
      <c r="B17" s="99"/>
      <c r="C17" s="99"/>
      <c r="D17" s="99"/>
      <c r="F17" s="98" t="s">
        <v>145</v>
      </c>
      <c r="G17" s="99"/>
      <c r="H17" s="99"/>
      <c r="I17" s="99"/>
    </row>
  </sheetData>
  <mergeCells count="3">
    <mergeCell ref="A1:D1"/>
    <mergeCell ref="F1:I1"/>
    <mergeCell ref="A15:D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Assembler</vt:lpstr>
      <vt:lpstr>simulator</vt:lpstr>
      <vt:lpstr>Debugger</vt:lpstr>
      <vt:lpstr>Sheet1</vt:lpstr>
      <vt:lpstr>Sheet2</vt:lpstr>
      <vt:lpstr>sample programs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</dc:creator>
  <cp:lastModifiedBy>Ross</cp:lastModifiedBy>
  <dcterms:created xsi:type="dcterms:W3CDTF">2017-12-17T16:49:00Z</dcterms:created>
  <dcterms:modified xsi:type="dcterms:W3CDTF">2019-09-16T11:25:32Z</dcterms:modified>
</cp:coreProperties>
</file>